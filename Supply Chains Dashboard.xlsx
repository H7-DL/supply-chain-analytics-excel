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mine\Porto Analist\Supply chains\"/>
    </mc:Choice>
  </mc:AlternateContent>
  <xr:revisionPtr revIDLastSave="0" documentId="13_ncr:1_{53F39B5A-9B9F-4F6F-8B04-72E7EC3C74A5}" xr6:coauthVersionLast="47" xr6:coauthVersionMax="47" xr10:uidLastSave="{00000000-0000-0000-0000-000000000000}"/>
  <bookViews>
    <workbookView xWindow="-120" yWindow="-120" windowWidth="20730" windowHeight="11040" firstSheet="1" activeTab="5" xr2:uid="{97D41A2C-C541-491E-B1AE-2CCDB68D6B2C}"/>
  </bookViews>
  <sheets>
    <sheet name="Sheet2" sheetId="3" r:id="rId1"/>
    <sheet name="Sheet3" sheetId="4" r:id="rId2"/>
    <sheet name="Sheet4" sheetId="5" r:id="rId3"/>
    <sheet name="Sheet5" sheetId="6" r:id="rId4"/>
    <sheet name="supply_chain_data" sheetId="2" r:id="rId5"/>
    <sheet name="Dashboard" sheetId="1" r:id="rId6"/>
  </sheets>
  <definedNames>
    <definedName name="ExternalData_1" localSheetId="4" hidden="1">supply_chain_data!$A$1:$P$101</definedName>
    <definedName name="Slicer_Product_type">#N/A</definedName>
    <definedName name="Slicer_Supplier_name">#N/A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1" i="1" l="1"/>
  <c r="T9" i="1"/>
  <c r="T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2176D6-D582-485D-8459-0214AFE1D62C}" keepAlive="1" name="Query - supply_chain_data" description="Connection to the 'supply_chain_data' query in the workbook." type="5" refreshedVersion="8" background="1" saveData="1">
    <dbPr connection="Provider=Microsoft.Mashup.OleDb.1;Data Source=$Workbook$;Location=supply_chain_data;Extended Properties=&quot;&quot;" command="SELECT * FROM [supply_chain_data]"/>
  </connection>
</connections>
</file>

<file path=xl/sharedStrings.xml><?xml version="1.0" encoding="utf-8"?>
<sst xmlns="http://schemas.openxmlformats.org/spreadsheetml/2006/main" count="738" uniqueCount="147">
  <si>
    <t>Product type</t>
  </si>
  <si>
    <t>SKU</t>
  </si>
  <si>
    <t>Price</t>
  </si>
  <si>
    <t>Units_Sold</t>
  </si>
  <si>
    <t>Revenue</t>
  </si>
  <si>
    <t>Stock_Level</t>
  </si>
  <si>
    <t>Shipping carriers</t>
  </si>
  <si>
    <t>Shipping_Cost</t>
  </si>
  <si>
    <t>Supplier name</t>
  </si>
  <si>
    <t>Location</t>
  </si>
  <si>
    <t>Lead_Time</t>
  </si>
  <si>
    <t>Mfg_Cost</t>
  </si>
  <si>
    <t>Inspection results</t>
  </si>
  <si>
    <t>Defect_Rate</t>
  </si>
  <si>
    <t>Transportation modes</t>
  </si>
  <si>
    <t>Transport_Cost</t>
  </si>
  <si>
    <t>haircare</t>
  </si>
  <si>
    <t>SKU0</t>
  </si>
  <si>
    <t>Carrier B</t>
  </si>
  <si>
    <t>Supplier 3</t>
  </si>
  <si>
    <t>Mumbai</t>
  </si>
  <si>
    <t>Pending</t>
  </si>
  <si>
    <t>Road</t>
  </si>
  <si>
    <t>skincare</t>
  </si>
  <si>
    <t>SKU1</t>
  </si>
  <si>
    <t>Carrier A</t>
  </si>
  <si>
    <t>SKU2</t>
  </si>
  <si>
    <t>Supplier 1</t>
  </si>
  <si>
    <t>Air</t>
  </si>
  <si>
    <t>SKU3</t>
  </si>
  <si>
    <t>Carrier C</t>
  </si>
  <si>
    <t>Supplier 5</t>
  </si>
  <si>
    <t>Kolkata</t>
  </si>
  <si>
    <t>Fail</t>
  </si>
  <si>
    <t>Rail</t>
  </si>
  <si>
    <t>SKU4</t>
  </si>
  <si>
    <t>Delhi</t>
  </si>
  <si>
    <t>SKU5</t>
  </si>
  <si>
    <t>Supplier 4</t>
  </si>
  <si>
    <t>Bangalore</t>
  </si>
  <si>
    <t>SKU6</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</si>
  <si>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</si>
  <si>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</si>
  <si>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</si>
  <si>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</si>
  <si>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</si>
  <si>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</si>
  <si>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</si>
  <si>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</si>
  <si>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</si>
  <si>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</si>
  <si>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</si>
  <si>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</si>
  <si>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</si>
  <si>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</si>
  <si>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</si>
  <si>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</si>
  <si>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</si>
  <si>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</si>
  <si>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</si>
  <si>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</si>
  <si>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</si>
  <si>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</si>
  <si>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</si>
  <si>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</si>
  <si>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</si>
  <si>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</si>
  <si>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</si>
  <si>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</si>
  <si>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</si>
  <si>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</si>
  <si>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</si>
  <si>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</si>
  <si>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</si>
  <si>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</si>
  <si>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</si>
  <si>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</si>
  <si>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</si>
  <si>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</si>
  <si>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</si>
  <si>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</si>
  <si>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</si>
  <si>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</si>
  <si>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</si>
  <si>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</si>
  <si>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</si>
  <si>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</si>
  <si>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</si>
  <si>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</si>
  <si>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</si>
  <si>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</si>
  <si>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</si>
  <si>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</si>
  <si>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</si>
  <si>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</si>
  <si>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</si>
  <si>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</si>
  <si>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</si>
  <si>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</si>
  <si>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</si>
  <si>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</si>
  <si>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</si>
  <si>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</si>
  <si>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</si>
  <si>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</si>
  <si>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</si>
  <si>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</si>
  <si>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</si>
  <si>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</si>
  <si>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</si>
  <si>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</si>
  <si>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</si>
  <si>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</si>
  <si>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</si>
  <si>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</si>
  <si>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</si>
  <si>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</si>
  <si>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</si>
  <si>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</si>
  <si>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</si>
  <si>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</si>
  <si>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</si>
  <si>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</si>
  <si>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</si>
  <si>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</si>
  <si>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</si>
  <si>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</si>
  <si>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</si>
  <si>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</si>
  <si>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</si>
  <si>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</si>
  <si>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</si>
  <si>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</si>
  <si>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</si>
  <si>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</si>
  <si>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</si>
  <si>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</si>
  <si>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</si>
  <si>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</si>
  <si>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Row Labels</t>
  </si>
  <si>
    <t>Grand Total</t>
  </si>
  <si>
    <t>Count of SKU</t>
  </si>
  <si>
    <t>Sum of Units_Sold</t>
  </si>
  <si>
    <t>Total Revenue</t>
  </si>
  <si>
    <t>Total Shipping Cost</t>
  </si>
  <si>
    <t>Total Unit Sold</t>
  </si>
  <si>
    <t>Avg Stock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</si>
</sst>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quot;$&quot;#,##0.00"/>
    <numFmt numFmtId="168" formatCode="&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2" fontId="0" fillId="0" borderId="0" xfId="0" applyNumberFormat="1"/>
    <xf numFmtId="3" fontId="0" fillId="0" borderId="0" xfId="0" applyNumberFormat="1"/>
    <xf numFmtId="10" fontId="0" fillId="0" borderId="0" xfId="0" applyNumberFormat="1"/>
    <xf numFmtId="168"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DAA600"/>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Chains Dashboard.xlsx]Sheet5!PivotTable4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u="none" strike="noStrike" baseline="0"/>
              <a:t>Units Sold vs Avg Stock Level by Product</a:t>
            </a:r>
            <a:endParaRPr lang="en-ID"/>
          </a:p>
        </c:rich>
      </c:tx>
      <c:layout>
        <c:manualLayout>
          <c:xMode val="edge"/>
          <c:yMode val="edge"/>
          <c:x val="0.17336730248817289"/>
          <c:y val="0.14689189492339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Sum of Units_Sold</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Sheet5!$A$4:$A$5</c:f>
              <c:strCache>
                <c:ptCount val="1"/>
                <c:pt idx="0">
                  <c:v>cosmetics</c:v>
                </c:pt>
              </c:strCache>
            </c:strRef>
          </c:cat>
          <c:val>
            <c:numRef>
              <c:f>Sheet5!$B$4:$B$5</c:f>
              <c:numCache>
                <c:formatCode>General</c:formatCode>
                <c:ptCount val="1"/>
                <c:pt idx="0">
                  <c:v>2318</c:v>
                </c:pt>
              </c:numCache>
            </c:numRef>
          </c:val>
          <c:extLst>
            <c:ext xmlns:c16="http://schemas.microsoft.com/office/drawing/2014/chart" uri="{C3380CC4-5D6E-409C-BE32-E72D297353CC}">
              <c16:uniqueId val="{00000000-7C93-4CCC-91BD-B2AA981949C2}"/>
            </c:ext>
          </c:extLst>
        </c:ser>
        <c:ser>
          <c:idx val="1"/>
          <c:order val="1"/>
          <c:tx>
            <c:strRef>
              <c:f>Sheet5!$C$3</c:f>
              <c:strCache>
                <c:ptCount val="1"/>
                <c:pt idx="0">
                  <c:v>Avg Stock Level</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Sheet5!$A$4:$A$5</c:f>
              <c:strCache>
                <c:ptCount val="1"/>
                <c:pt idx="0">
                  <c:v>cosmetics</c:v>
                </c:pt>
              </c:strCache>
            </c:strRef>
          </c:cat>
          <c:val>
            <c:numRef>
              <c:f>Sheet5!$C$4:$C$5</c:f>
              <c:numCache>
                <c:formatCode>General</c:formatCode>
                <c:ptCount val="1"/>
                <c:pt idx="0">
                  <c:v>61</c:v>
                </c:pt>
              </c:numCache>
            </c:numRef>
          </c:val>
          <c:extLst>
            <c:ext xmlns:c16="http://schemas.microsoft.com/office/drawing/2014/chart" uri="{C3380CC4-5D6E-409C-BE32-E72D297353CC}">
              <c16:uniqueId val="{00000001-7C93-4CCC-91BD-B2AA981949C2}"/>
            </c:ext>
          </c:extLst>
        </c:ser>
        <c:dLbls>
          <c:dLblPos val="outEnd"/>
          <c:showLegendKey val="0"/>
          <c:showVal val="1"/>
          <c:showCatName val="0"/>
          <c:showSerName val="0"/>
          <c:showPercent val="0"/>
          <c:showBubbleSize val="0"/>
        </c:dLbls>
        <c:gapWidth val="182"/>
        <c:axId val="850818783"/>
        <c:axId val="850805343"/>
      </c:barChart>
      <c:catAx>
        <c:axId val="850818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805343"/>
        <c:crosses val="autoZero"/>
        <c:auto val="1"/>
        <c:lblAlgn val="ctr"/>
        <c:lblOffset val="100"/>
        <c:noMultiLvlLbl val="0"/>
      </c:catAx>
      <c:valAx>
        <c:axId val="850805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81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Chains Dashboard.xlsx]Sheet4!PivotTable3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u="none" strike="noStrike" baseline="0"/>
              <a:t>Total Shipping Cost per Carrier</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 Shipping Cost</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Carrier A</c:v>
                </c:pt>
                <c:pt idx="1">
                  <c:v>Carrier B</c:v>
                </c:pt>
                <c:pt idx="2">
                  <c:v>Carrier C</c:v>
                </c:pt>
              </c:strCache>
            </c:strRef>
          </c:cat>
          <c:val>
            <c:numRef>
              <c:f>Sheet4!$B$4:$B$7</c:f>
              <c:numCache>
                <c:formatCode>General</c:formatCode>
                <c:ptCount val="3"/>
                <c:pt idx="0">
                  <c:v>6.5996141596895441</c:v>
                </c:pt>
                <c:pt idx="1">
                  <c:v>35.222652495611243</c:v>
                </c:pt>
                <c:pt idx="2">
                  <c:v>8.8736089485597525</c:v>
                </c:pt>
              </c:numCache>
            </c:numRef>
          </c:val>
          <c:extLst>
            <c:ext xmlns:c16="http://schemas.microsoft.com/office/drawing/2014/chart" uri="{C3380CC4-5D6E-409C-BE32-E72D297353CC}">
              <c16:uniqueId val="{00000000-10F7-4D58-9B6D-3F6CCF8D3377}"/>
            </c:ext>
          </c:extLst>
        </c:ser>
        <c:ser>
          <c:idx val="1"/>
          <c:order val="1"/>
          <c:tx>
            <c:strRef>
              <c:f>Sheet4!$C$3</c:f>
              <c:strCache>
                <c:ptCount val="1"/>
                <c:pt idx="0">
                  <c:v>Total Unit Sold</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Carrier A</c:v>
                </c:pt>
                <c:pt idx="1">
                  <c:v>Carrier B</c:v>
                </c:pt>
                <c:pt idx="2">
                  <c:v>Carrier C</c:v>
                </c:pt>
              </c:strCache>
            </c:strRef>
          </c:cat>
          <c:val>
            <c:numRef>
              <c:f>Sheet4!$C$4:$C$7</c:f>
              <c:numCache>
                <c:formatCode>General</c:formatCode>
                <c:ptCount val="3"/>
                <c:pt idx="0">
                  <c:v>478</c:v>
                </c:pt>
                <c:pt idx="1">
                  <c:v>1265</c:v>
                </c:pt>
                <c:pt idx="2">
                  <c:v>575</c:v>
                </c:pt>
              </c:numCache>
            </c:numRef>
          </c:val>
          <c:extLst>
            <c:ext xmlns:c16="http://schemas.microsoft.com/office/drawing/2014/chart" uri="{C3380CC4-5D6E-409C-BE32-E72D297353CC}">
              <c16:uniqueId val="{00000001-10F7-4D58-9B6D-3F6CCF8D3377}"/>
            </c:ext>
          </c:extLst>
        </c:ser>
        <c:dLbls>
          <c:showLegendKey val="0"/>
          <c:showVal val="0"/>
          <c:showCatName val="0"/>
          <c:showSerName val="0"/>
          <c:showPercent val="0"/>
          <c:showBubbleSize val="0"/>
        </c:dLbls>
        <c:gapWidth val="240"/>
        <c:overlap val="-74"/>
        <c:axId val="850809183"/>
        <c:axId val="850818303"/>
      </c:barChart>
      <c:catAx>
        <c:axId val="850809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818303"/>
        <c:crosses val="autoZero"/>
        <c:auto val="1"/>
        <c:lblAlgn val="ctr"/>
        <c:lblOffset val="100"/>
        <c:noMultiLvlLbl val="0"/>
      </c:catAx>
      <c:valAx>
        <c:axId val="85081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80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Chains Dashboard.xlsx]Sheet3!PivotTable2</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D"/>
              <a:t>Quality Control: Inspection Results Distribution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D"/>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7"/>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DAA600"/>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Sheet3!$B$3</c:f>
              <c:strCache>
                <c:ptCount val="1"/>
                <c:pt idx="0">
                  <c:v>Total</c:v>
                </c:pt>
              </c:strCache>
            </c:strRef>
          </c:tx>
          <c:dPt>
            <c:idx val="0"/>
            <c:bubble3D val="0"/>
            <c:spPr>
              <a:solidFill>
                <a:srgbClr val="C0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15E-47FE-8C6C-F1B777B7B5EB}"/>
              </c:ext>
            </c:extLst>
          </c:dPt>
          <c:dPt>
            <c:idx val="1"/>
            <c:bubble3D val="0"/>
            <c:spPr>
              <a:solidFill>
                <a:srgbClr val="00B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15E-47FE-8C6C-F1B777B7B5EB}"/>
              </c:ext>
            </c:extLst>
          </c:dPt>
          <c:dPt>
            <c:idx val="2"/>
            <c:bubble3D val="0"/>
            <c:spPr>
              <a:solidFill>
                <a:srgbClr val="DAA6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15E-47FE-8C6C-F1B777B7B5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Fail</c:v>
                </c:pt>
                <c:pt idx="1">
                  <c:v>Pass</c:v>
                </c:pt>
                <c:pt idx="2">
                  <c:v>Pending</c:v>
                </c:pt>
              </c:strCache>
            </c:strRef>
          </c:cat>
          <c:val>
            <c:numRef>
              <c:f>Sheet3!$B$4:$B$7</c:f>
              <c:numCache>
                <c:formatCode>General</c:formatCode>
                <c:ptCount val="3"/>
                <c:pt idx="0">
                  <c:v>3</c:v>
                </c:pt>
                <c:pt idx="1">
                  <c:v>2</c:v>
                </c:pt>
                <c:pt idx="2">
                  <c:v>2</c:v>
                </c:pt>
              </c:numCache>
            </c:numRef>
          </c:val>
          <c:extLst>
            <c:ext xmlns:c16="http://schemas.microsoft.com/office/drawing/2014/chart" uri="{C3380CC4-5D6E-409C-BE32-E72D297353CC}">
              <c16:uniqueId val="{00000006-A15E-47FE-8C6C-F1B777B7B5E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Chains Dashboard.xlsx]Sheet2!PivotTable1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u="none" strike="noStrike" baseline="0"/>
              <a:t>Total Revenue per Supplier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Sheet2!$A$4:$A$5</c:f>
              <c:strCache>
                <c:ptCount val="1"/>
                <c:pt idx="0">
                  <c:v>Supplier 1</c:v>
                </c:pt>
              </c:strCache>
            </c:strRef>
          </c:cat>
          <c:val>
            <c:numRef>
              <c:f>Sheet2!$B$4:$B$5</c:f>
              <c:numCache>
                <c:formatCode>General</c:formatCode>
                <c:ptCount val="1"/>
                <c:pt idx="0">
                  <c:v>33226.376660527676</c:v>
                </c:pt>
              </c:numCache>
            </c:numRef>
          </c:val>
          <c:extLst>
            <c:ext xmlns:c16="http://schemas.microsoft.com/office/drawing/2014/chart" uri="{C3380CC4-5D6E-409C-BE32-E72D297353CC}">
              <c16:uniqueId val="{00000000-041A-4ABA-884A-851B9B7D1AA9}"/>
            </c:ext>
          </c:extLst>
        </c:ser>
        <c:dLbls>
          <c:dLblPos val="outEnd"/>
          <c:showLegendKey val="0"/>
          <c:showVal val="1"/>
          <c:showCatName val="0"/>
          <c:showSerName val="0"/>
          <c:showPercent val="0"/>
          <c:showBubbleSize val="0"/>
        </c:dLbls>
        <c:gapWidth val="259"/>
        <c:overlap val="-100"/>
        <c:axId val="850839423"/>
        <c:axId val="850847103"/>
      </c:barChart>
      <c:catAx>
        <c:axId val="850839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847103"/>
        <c:crosses val="autoZero"/>
        <c:auto val="1"/>
        <c:lblAlgn val="ctr"/>
        <c:lblOffset val="100"/>
        <c:noMultiLvlLbl val="0"/>
      </c:catAx>
      <c:valAx>
        <c:axId val="8508471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83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28306</xdr:colOff>
      <xdr:row>5</xdr:row>
      <xdr:rowOff>122465</xdr:rowOff>
    </xdr:from>
    <xdr:to>
      <xdr:col>11</xdr:col>
      <xdr:colOff>612320</xdr:colOff>
      <xdr:row>17</xdr:row>
      <xdr:rowOff>65315</xdr:rowOff>
    </xdr:to>
    <xdr:graphicFrame macro="">
      <xdr:nvGraphicFramePr>
        <xdr:cNvPr id="2" name="Chart 1">
          <a:extLst>
            <a:ext uri="{FF2B5EF4-FFF2-40B4-BE49-F238E27FC236}">
              <a16:creationId xmlns:a16="http://schemas.microsoft.com/office/drawing/2014/main" id="{21EB571B-35F8-447F-8854-713C0FDB4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163371</xdr:colOff>
      <xdr:row>5</xdr:row>
      <xdr:rowOff>122465</xdr:rowOff>
    </xdr:from>
    <xdr:to>
      <xdr:col>22</xdr:col>
      <xdr:colOff>456755</xdr:colOff>
      <xdr:row>17</xdr:row>
      <xdr:rowOff>65315</xdr:rowOff>
    </xdr:to>
    <xdr:graphicFrame macro="">
      <xdr:nvGraphicFramePr>
        <xdr:cNvPr id="3" name="Chart 2">
          <a:extLst>
            <a:ext uri="{FF2B5EF4-FFF2-40B4-BE49-F238E27FC236}">
              <a16:creationId xmlns:a16="http://schemas.microsoft.com/office/drawing/2014/main" id="{9077C958-85CE-4EB3-9A82-2318B0E81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28306</xdr:colOff>
      <xdr:row>17</xdr:row>
      <xdr:rowOff>112940</xdr:rowOff>
    </xdr:from>
    <xdr:to>
      <xdr:col>11</xdr:col>
      <xdr:colOff>612320</xdr:colOff>
      <xdr:row>31</xdr:row>
      <xdr:rowOff>189700</xdr:rowOff>
    </xdr:to>
    <xdr:graphicFrame macro="">
      <xdr:nvGraphicFramePr>
        <xdr:cNvPr id="4" name="Chart 3">
          <a:extLst>
            <a:ext uri="{FF2B5EF4-FFF2-40B4-BE49-F238E27FC236}">
              <a16:creationId xmlns:a16="http://schemas.microsoft.com/office/drawing/2014/main" id="{1753DC0A-19AB-4BA0-93D0-6204FC5DB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163286</xdr:colOff>
      <xdr:row>17</xdr:row>
      <xdr:rowOff>112940</xdr:rowOff>
    </xdr:from>
    <xdr:to>
      <xdr:col>22</xdr:col>
      <xdr:colOff>456756</xdr:colOff>
      <xdr:row>31</xdr:row>
      <xdr:rowOff>189140</xdr:rowOff>
    </xdr:to>
    <xdr:graphicFrame macro="">
      <xdr:nvGraphicFramePr>
        <xdr:cNvPr id="5" name="Chart 4">
          <a:extLst>
            <a:ext uri="{FF2B5EF4-FFF2-40B4-BE49-F238E27FC236}">
              <a16:creationId xmlns:a16="http://schemas.microsoft.com/office/drawing/2014/main" id="{C9318B5F-36E0-4820-BAF0-9F8431CAF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492579</xdr:colOff>
      <xdr:row>5</xdr:row>
      <xdr:rowOff>122465</xdr:rowOff>
    </xdr:from>
    <xdr:to>
      <xdr:col>2</xdr:col>
      <xdr:colOff>0</xdr:colOff>
      <xdr:row>12</xdr:row>
      <xdr:rowOff>55790</xdr:rowOff>
    </xdr:to>
    <mc:AlternateContent xmlns:mc="http://schemas.openxmlformats.org/markup-compatibility/2006">
      <mc:Choice xmlns:a14="http://schemas.microsoft.com/office/drawing/2010/main" Requires="a14">
        <xdr:graphicFrame macro="">
          <xdr:nvGraphicFramePr>
            <xdr:cNvPr id="6" name="Product type">
              <a:extLst>
                <a:ext uri="{FF2B5EF4-FFF2-40B4-BE49-F238E27FC236}">
                  <a16:creationId xmlns:a16="http://schemas.microsoft.com/office/drawing/2014/main" id="{555C4D46-C9BE-6205-72BF-9141D4E6CC43}"/>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dr:sp macro="" textlink="">
          <xdr:nvSpPr>
            <xdr:cNvPr id="0" name=""/>
            <xdr:cNvSpPr>
              <a:spLocks noTextEdit="1"/>
            </xdr:cNvSpPr>
          </xdr:nvSpPr>
          <xdr:spPr>
            <a:xfrm>
              <a:off x="492579" y="1074965"/>
              <a:ext cx="1031421" cy="12668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492579</xdr:colOff>
      <xdr:row>12</xdr:row>
      <xdr:rowOff>122464</xdr:rowOff>
    </xdr:from>
    <xdr:to>
      <xdr:col>1</xdr:col>
      <xdr:colOff>908671</xdr:colOff>
      <xdr:row>22</xdr:row>
      <xdr:rowOff>17688</xdr:rowOff>
    </xdr:to>
    <mc:AlternateContent xmlns:mc="http://schemas.openxmlformats.org/markup-compatibility/2006">
      <mc:Choice xmlns:a14="http://schemas.microsoft.com/office/drawing/2010/main" Requires="a14">
        <xdr:graphicFrame macro="">
          <xdr:nvGraphicFramePr>
            <xdr:cNvPr id="7" name="Supplier name">
              <a:extLst>
                <a:ext uri="{FF2B5EF4-FFF2-40B4-BE49-F238E27FC236}">
                  <a16:creationId xmlns:a16="http://schemas.microsoft.com/office/drawing/2014/main" id="{403A8F37-CFEC-9C78-21CE-CEDA1211C48D}"/>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dr:sp macro="" textlink="">
          <xdr:nvSpPr>
            <xdr:cNvPr id="0" name=""/>
            <xdr:cNvSpPr>
              <a:spLocks noTextEdit="1"/>
            </xdr:cNvSpPr>
          </xdr:nvSpPr>
          <xdr:spPr>
            <a:xfrm>
              <a:off x="492579" y="2408464"/>
              <a:ext cx="1028413" cy="180022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280306</xdr:colOff>
      <xdr:row>1</xdr:row>
      <xdr:rowOff>166007</xdr:rowOff>
    </xdr:from>
    <xdr:to>
      <xdr:col>9</xdr:col>
      <xdr:colOff>566056</xdr:colOff>
      <xdr:row>5</xdr:row>
      <xdr:rowOff>43542</xdr:rowOff>
    </xdr:to>
    <xdr:sp macro="" textlink="$T$7">
      <xdr:nvSpPr>
        <xdr:cNvPr id="9" name="Rectangle: Rounded Corners 8">
          <a:extLst>
            <a:ext uri="{FF2B5EF4-FFF2-40B4-BE49-F238E27FC236}">
              <a16:creationId xmlns:a16="http://schemas.microsoft.com/office/drawing/2014/main" id="{7941B30A-A226-3BAA-F9F4-E5514F863FF5}"/>
            </a:ext>
          </a:extLst>
        </xdr:cNvPr>
        <xdr:cNvSpPr/>
      </xdr:nvSpPr>
      <xdr:spPr>
        <a:xfrm>
          <a:off x="5029199" y="356507"/>
          <a:ext cx="1510393" cy="639535"/>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0FC3AD4-D351-41BE-AC91-45ADAFD9DF8D}" type="TxLink">
            <a:rPr lang="en-US" sz="1800" b="0" i="0" u="none" strike="noStrike">
              <a:solidFill>
                <a:schemeClr val="bg1"/>
              </a:solidFill>
              <a:latin typeface="Calibri"/>
              <a:ea typeface="Calibri"/>
              <a:cs typeface="Calibri"/>
            </a:rPr>
            <a:t>$577,605</a:t>
          </a:fld>
          <a:endParaRPr lang="en-ID" sz="1800">
            <a:solidFill>
              <a:schemeClr val="bg1"/>
            </a:solidFill>
          </a:endParaRPr>
        </a:p>
      </xdr:txBody>
    </xdr:sp>
    <xdr:clientData/>
  </xdr:twoCellAnchor>
  <xdr:twoCellAnchor>
    <xdr:from>
      <xdr:col>7</xdr:col>
      <xdr:colOff>498020</xdr:colOff>
      <xdr:row>0</xdr:row>
      <xdr:rowOff>152400</xdr:rowOff>
    </xdr:from>
    <xdr:to>
      <xdr:col>9</xdr:col>
      <xdr:colOff>348341</xdr:colOff>
      <xdr:row>1</xdr:row>
      <xdr:rowOff>152400</xdr:rowOff>
    </xdr:to>
    <xdr:sp macro="" textlink="">
      <xdr:nvSpPr>
        <xdr:cNvPr id="12" name="TextBox 11">
          <a:extLst>
            <a:ext uri="{FF2B5EF4-FFF2-40B4-BE49-F238E27FC236}">
              <a16:creationId xmlns:a16="http://schemas.microsoft.com/office/drawing/2014/main" id="{1865D90B-B7D6-6712-A866-326772D9C886}"/>
            </a:ext>
          </a:extLst>
        </xdr:cNvPr>
        <xdr:cNvSpPr txBox="1"/>
      </xdr:nvSpPr>
      <xdr:spPr>
        <a:xfrm>
          <a:off x="5246913" y="152400"/>
          <a:ext cx="1074964"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Total Revenue</a:t>
          </a:r>
        </a:p>
      </xdr:txBody>
    </xdr:sp>
    <xdr:clientData/>
  </xdr:twoCellAnchor>
  <xdr:twoCellAnchor>
    <xdr:from>
      <xdr:col>10</xdr:col>
      <xdr:colOff>228600</xdr:colOff>
      <xdr:row>1</xdr:row>
      <xdr:rowOff>166007</xdr:rowOff>
    </xdr:from>
    <xdr:to>
      <xdr:col>12</xdr:col>
      <xdr:colOff>514350</xdr:colOff>
      <xdr:row>5</xdr:row>
      <xdr:rowOff>43542</xdr:rowOff>
    </xdr:to>
    <xdr:sp macro="" textlink="$T$9">
      <xdr:nvSpPr>
        <xdr:cNvPr id="13" name="Rectangle: Rounded Corners 12">
          <a:extLst>
            <a:ext uri="{FF2B5EF4-FFF2-40B4-BE49-F238E27FC236}">
              <a16:creationId xmlns:a16="http://schemas.microsoft.com/office/drawing/2014/main" id="{7D702C05-866D-49B5-87B0-ADCF2630D26C}"/>
            </a:ext>
          </a:extLst>
        </xdr:cNvPr>
        <xdr:cNvSpPr/>
      </xdr:nvSpPr>
      <xdr:spPr>
        <a:xfrm>
          <a:off x="6814457" y="356507"/>
          <a:ext cx="1510393" cy="639535"/>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9B70C43-E0DB-4DD0-89FC-6B77384E1841}" type="TxLink">
            <a:rPr lang="en-US" sz="1800" b="0" i="0" u="none" strike="noStrike">
              <a:solidFill>
                <a:schemeClr val="bg1"/>
              </a:solidFill>
              <a:latin typeface="Calibri"/>
              <a:ea typeface="Calibri"/>
              <a:cs typeface="Calibri"/>
            </a:rPr>
            <a:t>46,099</a:t>
          </a:fld>
          <a:endParaRPr lang="en-ID" sz="1800">
            <a:solidFill>
              <a:schemeClr val="bg1"/>
            </a:solidFill>
          </a:endParaRPr>
        </a:p>
      </xdr:txBody>
    </xdr:sp>
    <xdr:clientData/>
  </xdr:twoCellAnchor>
  <xdr:twoCellAnchor>
    <xdr:from>
      <xdr:col>10</xdr:col>
      <xdr:colOff>446314</xdr:colOff>
      <xdr:row>0</xdr:row>
      <xdr:rowOff>152400</xdr:rowOff>
    </xdr:from>
    <xdr:to>
      <xdr:col>12</xdr:col>
      <xdr:colOff>296635</xdr:colOff>
      <xdr:row>1</xdr:row>
      <xdr:rowOff>152400</xdr:rowOff>
    </xdr:to>
    <xdr:sp macro="" textlink="">
      <xdr:nvSpPr>
        <xdr:cNvPr id="14" name="TextBox 13">
          <a:extLst>
            <a:ext uri="{FF2B5EF4-FFF2-40B4-BE49-F238E27FC236}">
              <a16:creationId xmlns:a16="http://schemas.microsoft.com/office/drawing/2014/main" id="{1ED04330-8DC9-4B32-9FD7-F592F56238CD}"/>
            </a:ext>
          </a:extLst>
        </xdr:cNvPr>
        <xdr:cNvSpPr txBox="1"/>
      </xdr:nvSpPr>
      <xdr:spPr>
        <a:xfrm>
          <a:off x="7032171" y="152400"/>
          <a:ext cx="1074964"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a:t>Total Unit Sold</a:t>
          </a:r>
        </a:p>
      </xdr:txBody>
    </xdr:sp>
    <xdr:clientData/>
  </xdr:twoCellAnchor>
  <xdr:twoCellAnchor>
    <xdr:from>
      <xdr:col>13</xdr:col>
      <xdr:colOff>176893</xdr:colOff>
      <xdr:row>1</xdr:row>
      <xdr:rowOff>166007</xdr:rowOff>
    </xdr:from>
    <xdr:to>
      <xdr:col>15</xdr:col>
      <xdr:colOff>462643</xdr:colOff>
      <xdr:row>5</xdr:row>
      <xdr:rowOff>43542</xdr:rowOff>
    </xdr:to>
    <xdr:sp macro="" textlink="$T$11">
      <xdr:nvSpPr>
        <xdr:cNvPr id="15" name="Rectangle: Rounded Corners 14">
          <a:extLst>
            <a:ext uri="{FF2B5EF4-FFF2-40B4-BE49-F238E27FC236}">
              <a16:creationId xmlns:a16="http://schemas.microsoft.com/office/drawing/2014/main" id="{425E28A7-32AD-4D23-9B3E-33B024A96889}"/>
            </a:ext>
          </a:extLst>
        </xdr:cNvPr>
        <xdr:cNvSpPr/>
      </xdr:nvSpPr>
      <xdr:spPr>
        <a:xfrm>
          <a:off x="8599714" y="356507"/>
          <a:ext cx="1510393" cy="639535"/>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6869FB-3446-41A9-91D9-FA606DC4F72A}" type="TxLink">
            <a:rPr lang="en-US" sz="2000" b="0" i="0" u="none" strike="noStrike">
              <a:solidFill>
                <a:schemeClr val="bg1"/>
              </a:solidFill>
              <a:latin typeface="Calibri"/>
              <a:ea typeface="Calibri"/>
              <a:cs typeface="Calibri"/>
            </a:rPr>
            <a:t>2.28%</a:t>
          </a:fld>
          <a:endParaRPr lang="en-ID" sz="2000">
            <a:solidFill>
              <a:schemeClr val="bg1"/>
            </a:solidFill>
          </a:endParaRPr>
        </a:p>
      </xdr:txBody>
    </xdr:sp>
    <xdr:clientData/>
  </xdr:twoCellAnchor>
  <xdr:twoCellAnchor>
    <xdr:from>
      <xdr:col>13</xdr:col>
      <xdr:colOff>322489</xdr:colOff>
      <xdr:row>0</xdr:row>
      <xdr:rowOff>152400</xdr:rowOff>
    </xdr:from>
    <xdr:to>
      <xdr:col>15</xdr:col>
      <xdr:colOff>317046</xdr:colOff>
      <xdr:row>1</xdr:row>
      <xdr:rowOff>122464</xdr:rowOff>
    </xdr:to>
    <xdr:sp macro="" textlink="">
      <xdr:nvSpPr>
        <xdr:cNvPr id="16" name="TextBox 15">
          <a:extLst>
            <a:ext uri="{FF2B5EF4-FFF2-40B4-BE49-F238E27FC236}">
              <a16:creationId xmlns:a16="http://schemas.microsoft.com/office/drawing/2014/main" id="{1B6657FE-CCE0-4293-B172-FB52E7BC761C}"/>
            </a:ext>
          </a:extLst>
        </xdr:cNvPr>
        <xdr:cNvSpPr txBox="1"/>
      </xdr:nvSpPr>
      <xdr:spPr>
        <a:xfrm>
          <a:off x="8745310" y="152400"/>
          <a:ext cx="1219200" cy="1605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b="1"/>
            <a:t>Avg Defect Rate</a:t>
          </a:r>
          <a:endParaRPr lang="en-ID"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6.368370833334" createdVersion="8" refreshedVersion="8" minRefreshableVersion="3" recordCount="100" xr:uid="{94DF2917-E10E-4C18-8ADF-F2FA25920439}">
  <cacheSource type="worksheet">
    <worksheetSource name="supply_chain_data"/>
  </cacheSource>
  <cacheFields count="16">
    <cacheField name="Product type" numFmtId="0">
      <sharedItems count="3">
        <s v="haircare"/>
        <s v="skincare"/>
        <s v="cosmetics"/>
      </sharedItems>
    </cacheField>
    <cacheField name="SKU" numFmtId="0">
      <sharedItems/>
    </cacheField>
    <cacheField name="Price" numFmtId="0">
      <sharedItems containsSemiMixedTypes="0" containsString="0" containsNumber="1" minValue="1.6999760138659377" maxValue="99.171328638624189"/>
    </cacheField>
    <cacheField name="Units_Sold" numFmtId="0">
      <sharedItems containsSemiMixedTypes="0" containsString="0" containsNumber="1" containsInteger="1" minValue="8" maxValue="996"/>
    </cacheField>
    <cacheField name="Revenue" numFmtId="0">
      <sharedItems containsSemiMixedTypes="0" containsString="0" containsNumber="1" minValue="1061.618523013288" maxValue="9866.465457979697"/>
    </cacheField>
    <cacheField name="Stock_Level" numFmtId="0">
      <sharedItems containsSemiMixedTypes="0" containsString="0" containsNumber="1" containsInteger="1" minValue="0" maxValue="100"/>
    </cacheField>
    <cacheField name="Shipping carriers" numFmtId="0">
      <sharedItems count="3">
        <s v="Carrier B"/>
        <s v="Carrier A"/>
        <s v="Carrier C"/>
      </sharedItems>
    </cacheField>
    <cacheField name="Shipping_Cost" numFmtId="0">
      <sharedItems containsSemiMixedTypes="0" containsString="0" containsNumber="1" minValue="1.0134865660958963" maxValue="9.9298162452772587"/>
    </cacheField>
    <cacheField name="Supplier name" numFmtId="0">
      <sharedItems count="5">
        <s v="Supplier 3"/>
        <s v="Supplier 1"/>
        <s v="Supplier 5"/>
        <s v="Supplier 4"/>
        <s v="Supplier 2"/>
      </sharedItems>
    </cacheField>
    <cacheField name="Location" numFmtId="0">
      <sharedItems/>
    </cacheField>
    <cacheField name="Lead_Time" numFmtId="0">
      <sharedItems containsSemiMixedTypes="0" containsString="0" containsNumber="1" containsInteger="1" minValue="1" maxValue="30"/>
    </cacheField>
    <cacheField name="Mfg_Cost" numFmtId="0">
      <sharedItems containsSemiMixedTypes="0" containsString="0" containsNumber="1" minValue="1.0850685695870688" maxValue="99.466108603599125"/>
    </cacheField>
    <cacheField name="Inspection results" numFmtId="0">
      <sharedItems count="3">
        <s v="Pending"/>
        <s v="Fail"/>
        <s v="Pass"/>
      </sharedItems>
    </cacheField>
    <cacheField name="Defect_Rate" numFmtId="0">
      <sharedItems containsSemiMixedTypes="0" containsString="0" containsNumber="1" minValue="1.8607567631014899E-2" maxValue="4.9392552886209478"/>
    </cacheField>
    <cacheField name="Transportation modes" numFmtId="0">
      <sharedItems/>
    </cacheField>
    <cacheField name="Transport_Cost" numFmtId="0">
      <sharedItems containsSemiMixedTypes="0" containsString="0" containsNumber="1" minValue="103.91624796070495" maxValue="997.4134501331946"/>
    </cacheField>
  </cacheFields>
  <extLst>
    <ext xmlns:x14="http://schemas.microsoft.com/office/spreadsheetml/2009/9/main" uri="{725AE2AE-9491-48be-B2B4-4EB974FC3084}">
      <x14:pivotCacheDefinition pivotCacheId="6045966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KU0"/>
    <n v="69.808005542115765"/>
    <n v="802"/>
    <n v="8661.9967923923832"/>
    <n v="58"/>
    <x v="0"/>
    <n v="2.9565721394308069"/>
    <x v="0"/>
    <s v="Mumbai"/>
    <n v="29"/>
    <n v="46.279879240508322"/>
    <x v="0"/>
    <n v="0.22641036084992516"/>
    <s v="Road"/>
    <n v="187.75207545920392"/>
  </r>
  <r>
    <x v="1"/>
    <s v="SKU1"/>
    <n v="14.843523275084339"/>
    <n v="736"/>
    <n v="7460.9000654458487"/>
    <n v="53"/>
    <x v="1"/>
    <n v="9.7165747714313095"/>
    <x v="0"/>
    <s v="Mumbai"/>
    <n v="23"/>
    <n v="33.616768953730002"/>
    <x v="0"/>
    <n v="4.8540680263887062"/>
    <s v="Road"/>
    <n v="503.06557914966919"/>
  </r>
  <r>
    <x v="0"/>
    <s v="SKU2"/>
    <n v="11.319683293090566"/>
    <n v="8"/>
    <n v="9577.7496258687297"/>
    <n v="1"/>
    <x v="0"/>
    <n v="8.0544792617321548"/>
    <x v="1"/>
    <s v="Mumbai"/>
    <n v="12"/>
    <n v="30.688019348284204"/>
    <x v="0"/>
    <n v="4.580592619199229"/>
    <s v="Air"/>
    <n v="141.92028177151906"/>
  </r>
  <r>
    <x v="1"/>
    <s v="SKU3"/>
    <n v="61.163343016437736"/>
    <n v="83"/>
    <n v="7766.8364256852328"/>
    <n v="23"/>
    <x v="2"/>
    <n v="1.7295685635434288"/>
    <x v="2"/>
    <s v="Kolkata"/>
    <n v="24"/>
    <n v="35.624741397125028"/>
    <x v="1"/>
    <n v="4.7466486206477496"/>
    <s v="Rail"/>
    <n v="254.77615921928663"/>
  </r>
  <r>
    <x v="1"/>
    <s v="SKU4"/>
    <n v="4.8054960363458932"/>
    <n v="871"/>
    <n v="2686.5051515674468"/>
    <n v="5"/>
    <x v="1"/>
    <n v="3.8905479158706715"/>
    <x v="1"/>
    <s v="Delhi"/>
    <n v="5"/>
    <n v="92.065160598712851"/>
    <x v="1"/>
    <n v="3.1455795228330019"/>
    <s v="Air"/>
    <n v="923.44063171192215"/>
  </r>
  <r>
    <x v="0"/>
    <s v="SKU5"/>
    <n v="1.6999760138659377"/>
    <n v="147"/>
    <n v="2828.3487459757589"/>
    <n v="90"/>
    <x v="0"/>
    <n v="4.4440988643822932"/>
    <x v="3"/>
    <s v="Bangalore"/>
    <n v="10"/>
    <n v="56.766475557431797"/>
    <x v="1"/>
    <n v="2.7791935115711617"/>
    <s v="Road"/>
    <n v="235.46123673553751"/>
  </r>
  <r>
    <x v="1"/>
    <s v="SKU6"/>
    <n v="4.0783328631079447"/>
    <n v="65"/>
    <n v="7823.4765595317367"/>
    <n v="11"/>
    <x v="2"/>
    <n v="3.8807633029520034"/>
    <x v="0"/>
    <s v="Kolkata"/>
    <n v="14"/>
    <n v="1.0850685695870688"/>
    <x v="0"/>
    <n v="1.0009106193041357"/>
    <s v="Sea"/>
    <n v="134.36909686103172"/>
  </r>
  <r>
    <x v="2"/>
    <s v="SKU7"/>
    <n v="42.958384382460068"/>
    <n v="426"/>
    <n v="8496.1038130898378"/>
    <n v="93"/>
    <x v="0"/>
    <n v="2.3483387844177805"/>
    <x v="3"/>
    <s v="Bangalore"/>
    <n v="22"/>
    <n v="99.466108603599125"/>
    <x v="1"/>
    <n v="0.39817718685065062"/>
    <s v="Road"/>
    <n v="802.05631181755859"/>
  </r>
  <r>
    <x v="2"/>
    <s v="SKU8"/>
    <n v="68.717596748527328"/>
    <n v="150"/>
    <n v="7517.363210631127"/>
    <n v="5"/>
    <x v="2"/>
    <n v="3.4047338570830266"/>
    <x v="3"/>
    <s v="Mumbai"/>
    <n v="13"/>
    <n v="11.423027139565695"/>
    <x v="0"/>
    <n v="2.7098626911099615"/>
    <s v="Sea"/>
    <n v="505.55713422546415"/>
  </r>
  <r>
    <x v="1"/>
    <s v="SKU9"/>
    <n v="64.015732941278543"/>
    <n v="980"/>
    <n v="4971.145987585558"/>
    <n v="14"/>
    <x v="1"/>
    <n v="7.1666452910482157"/>
    <x v="4"/>
    <s v="Chennai"/>
    <n v="29"/>
    <n v="47.95760163495158"/>
    <x v="0"/>
    <n v="3.8446144787675851"/>
    <s v="Rail"/>
    <n v="995.92946149864167"/>
  </r>
  <r>
    <x v="1"/>
    <s v="SKU10"/>
    <n v="15.707795681912138"/>
    <n v="996"/>
    <n v="2330.9658020919492"/>
    <n v="51"/>
    <x v="2"/>
    <n v="8.6732112112786126"/>
    <x v="2"/>
    <s v="Kolkata"/>
    <n v="18"/>
    <n v="96.52735278531091"/>
    <x v="2"/>
    <n v="1.7273139283559424"/>
    <s v="Road"/>
    <n v="806.10317770292295"/>
  </r>
  <r>
    <x v="1"/>
    <s v="SKU11"/>
    <n v="90.635459982288666"/>
    <n v="960"/>
    <n v="6099.944115581452"/>
    <n v="46"/>
    <x v="1"/>
    <n v="4.5239431243166628"/>
    <x v="4"/>
    <s v="Kolkata"/>
    <n v="28"/>
    <n v="27.592363086663696"/>
    <x v="0"/>
    <n v="2.1169821372994391E-2"/>
    <s v="Air"/>
    <n v="126.72303340940725"/>
  </r>
  <r>
    <x v="0"/>
    <s v="SKU12"/>
    <n v="71.213389075360084"/>
    <n v="336"/>
    <n v="2873.7414460214413"/>
    <n v="100"/>
    <x v="1"/>
    <n v="1.325274010184522"/>
    <x v="3"/>
    <s v="Kolkata"/>
    <n v="3"/>
    <n v="32.321286213424031"/>
    <x v="1"/>
    <n v="2.1612537475559117"/>
    <s v="Road"/>
    <n v="402.96878907377061"/>
  </r>
  <r>
    <x v="1"/>
    <s v="SKU13"/>
    <n v="16.160393317379977"/>
    <n v="249"/>
    <n v="4052.7384162378667"/>
    <n v="80"/>
    <x v="1"/>
    <n v="9.5372830611083383"/>
    <x v="2"/>
    <s v="Bangalore"/>
    <n v="23"/>
    <n v="97.82905011017327"/>
    <x v="0"/>
    <n v="1.6310742300715386"/>
    <s v="Road"/>
    <n v="547.24100516096848"/>
  </r>
  <r>
    <x v="1"/>
    <s v="SKU14"/>
    <n v="99.171328638624189"/>
    <n v="562"/>
    <n v="8653.5709264698016"/>
    <n v="54"/>
    <x v="0"/>
    <n v="2.0397701894493316"/>
    <x v="1"/>
    <s v="Kolkata"/>
    <n v="25"/>
    <n v="5.7914366298629893"/>
    <x v="0"/>
    <n v="0.10068285156509371"/>
    <s v="Air"/>
    <n v="929.23528996088965"/>
  </r>
  <r>
    <x v="1"/>
    <s v="SKU15"/>
    <n v="36.98924492862691"/>
    <n v="469"/>
    <n v="5442.0867853976733"/>
    <n v="9"/>
    <x v="0"/>
    <n v="2.4220397232752044"/>
    <x v="1"/>
    <s v="Bangalore"/>
    <n v="14"/>
    <n v="97.121281751474314"/>
    <x v="2"/>
    <n v="2.2644057611985491"/>
    <s v="Sea"/>
    <n v="127.86180000162541"/>
  </r>
  <r>
    <x v="1"/>
    <s v="SKU16"/>
    <n v="7.5471721097912718"/>
    <n v="280"/>
    <n v="6453.7979681762854"/>
    <n v="2"/>
    <x v="0"/>
    <n v="4.1913245857055017"/>
    <x v="1"/>
    <s v="Bangalore"/>
    <n v="3"/>
    <n v="77.106342497850008"/>
    <x v="2"/>
    <n v="1.0125630892580491"/>
    <s v="Air"/>
    <n v="865.52577977124031"/>
  </r>
  <r>
    <x v="2"/>
    <s v="SKU17"/>
    <n v="81.462534369237019"/>
    <n v="126"/>
    <n v="2629.3964348452619"/>
    <n v="45"/>
    <x v="2"/>
    <n v="3.5854189582323421"/>
    <x v="1"/>
    <s v="Chennai"/>
    <n v="7"/>
    <n v="47.679680368355335"/>
    <x v="1"/>
    <n v="0.10202075491817619"/>
    <s v="Air"/>
    <n v="670.93439079241034"/>
  </r>
  <r>
    <x v="0"/>
    <s v="SKU18"/>
    <n v="36.443627770460935"/>
    <n v="620"/>
    <n v="9364.6735050761727"/>
    <n v="10"/>
    <x v="2"/>
    <n v="4.339224714110709"/>
    <x v="4"/>
    <s v="Kolkata"/>
    <n v="18"/>
    <n v="27.10798085484392"/>
    <x v="0"/>
    <n v="2.2319391107292637"/>
    <s v="Sea"/>
    <n v="593.48025872065182"/>
  </r>
  <r>
    <x v="1"/>
    <s v="SKU19"/>
    <n v="51.12387008796474"/>
    <n v="187"/>
    <n v="2553.4955849912149"/>
    <n v="48"/>
    <x v="1"/>
    <n v="4.7426358828418769"/>
    <x v="3"/>
    <s v="Chennai"/>
    <n v="20"/>
    <n v="82.373320587990207"/>
    <x v="1"/>
    <n v="3.6464508654170293"/>
    <s v="Road"/>
    <n v="477.30763109090344"/>
  </r>
  <r>
    <x v="1"/>
    <s v="SKU20"/>
    <n v="96.341072439963384"/>
    <n v="320"/>
    <n v="8128.0276968511916"/>
    <n v="27"/>
    <x v="1"/>
    <n v="8.8783346509268402"/>
    <x v="1"/>
    <s v="Chennai"/>
    <n v="29"/>
    <n v="65.686259608488626"/>
    <x v="2"/>
    <n v="4.2314165735345393"/>
    <s v="Air"/>
    <n v="493.87121531620585"/>
  </r>
  <r>
    <x v="2"/>
    <s v="SKU21"/>
    <n v="84.893868984950828"/>
    <n v="601"/>
    <n v="7087.0526963574366"/>
    <n v="69"/>
    <x v="0"/>
    <n v="6.0378837692182978"/>
    <x v="2"/>
    <s v="Chennai"/>
    <n v="19"/>
    <n v="61.735728954160933"/>
    <x v="0"/>
    <n v="1.8607567631014899E-2"/>
    <s v="Air"/>
    <n v="523.36091472015801"/>
  </r>
  <r>
    <x v="0"/>
    <s v="SKU22"/>
    <n v="27.679780886501959"/>
    <n v="884"/>
    <n v="2390.8078665561734"/>
    <n v="71"/>
    <x v="1"/>
    <n v="9.5676489209230393"/>
    <x v="3"/>
    <s v="Kolkata"/>
    <n v="22"/>
    <n v="50.120839612977349"/>
    <x v="1"/>
    <n v="2.5912754732111161"/>
    <s v="Rail"/>
    <n v="205.57199582694707"/>
  </r>
  <r>
    <x v="2"/>
    <s v="SKU23"/>
    <n v="4.3243411858641636"/>
    <n v="391"/>
    <n v="8858.367571011484"/>
    <n v="84"/>
    <x v="1"/>
    <n v="2.924857601145554"/>
    <x v="2"/>
    <s v="Kolkata"/>
    <n v="11"/>
    <n v="98.609957242703871"/>
    <x v="0"/>
    <n v="1.3422915627227339"/>
    <s v="Rail"/>
    <n v="196.32944611241268"/>
  </r>
  <r>
    <x v="0"/>
    <s v="SKU24"/>
    <n v="4.1563083593111081"/>
    <n v="209"/>
    <n v="9049.0778609398967"/>
    <n v="4"/>
    <x v="2"/>
    <n v="9.7412916892843686"/>
    <x v="4"/>
    <s v="Bangalore"/>
    <n v="28"/>
    <n v="40.382359702924816"/>
    <x v="0"/>
    <n v="3.691310292628728"/>
    <s v="Air"/>
    <n v="758.72477260293829"/>
  </r>
  <r>
    <x v="0"/>
    <s v="SKU25"/>
    <n v="39.629343985092625"/>
    <n v="142"/>
    <n v="2174.777054350654"/>
    <n v="82"/>
    <x v="2"/>
    <n v="2.2310736812817278"/>
    <x v="3"/>
    <s v="Kolkata"/>
    <n v="19"/>
    <n v="78.280383118415386"/>
    <x v="0"/>
    <n v="3.7972312171141831"/>
    <s v="Road"/>
    <n v="458.53594573920907"/>
  </r>
  <r>
    <x v="0"/>
    <s v="SKU26"/>
    <n v="97.44694661789282"/>
    <n v="353"/>
    <n v="3716.4933258940368"/>
    <n v="59"/>
    <x v="0"/>
    <n v="6.5075486210785511"/>
    <x v="4"/>
    <s v="Bangalore"/>
    <n v="26"/>
    <n v="15.972229757181761"/>
    <x v="2"/>
    <n v="2.1193197367249228"/>
    <s v="Rail"/>
    <n v="617.8669164583772"/>
  </r>
  <r>
    <x v="2"/>
    <s v="SKU27"/>
    <n v="92.557360812402024"/>
    <n v="352"/>
    <n v="2686.4572235759833"/>
    <n v="47"/>
    <x v="2"/>
    <n v="7.406750952998074"/>
    <x v="2"/>
    <s v="Mumbai"/>
    <n v="25"/>
    <n v="10.528245070042162"/>
    <x v="1"/>
    <n v="2.8646678378833732"/>
    <s v="Sea"/>
    <n v="762.45918215568372"/>
  </r>
  <r>
    <x v="2"/>
    <s v="SKU28"/>
    <n v="2.3972747055971411"/>
    <n v="394"/>
    <n v="6117.3246150839923"/>
    <n v="48"/>
    <x v="0"/>
    <n v="9.898140508069222"/>
    <x v="1"/>
    <s v="Mumbai"/>
    <n v="13"/>
    <n v="59.429381810691567"/>
    <x v="1"/>
    <n v="0.81575707929567198"/>
    <s v="Air"/>
    <n v="123.43702751182708"/>
  </r>
  <r>
    <x v="2"/>
    <s v="SKU29"/>
    <n v="63.447559185207332"/>
    <n v="253"/>
    <n v="8318.9031946171781"/>
    <n v="45"/>
    <x v="0"/>
    <n v="8.1009731453970311"/>
    <x v="1"/>
    <s v="Kolkata"/>
    <n v="16"/>
    <n v="39.292875586065747"/>
    <x v="2"/>
    <n v="3.8780989365884881"/>
    <s v="Road"/>
    <n v="764.93537594070813"/>
  </r>
  <r>
    <x v="0"/>
    <s v="SKU30"/>
    <n v="8.0228592105263932"/>
    <n v="327"/>
    <n v="2766.3423668660889"/>
    <n v="60"/>
    <x v="0"/>
    <n v="8.9545283153180151"/>
    <x v="3"/>
    <s v="Kolkata"/>
    <n v="27"/>
    <n v="51.634893400109334"/>
    <x v="0"/>
    <n v="0.96539470535239313"/>
    <s v="Road"/>
    <n v="880.08098824716103"/>
  </r>
  <r>
    <x v="1"/>
    <s v="SKU31"/>
    <n v="50.847393051718697"/>
    <n v="168"/>
    <n v="9655.1351027193978"/>
    <n v="6"/>
    <x v="0"/>
    <n v="2.6796609649814065"/>
    <x v="0"/>
    <s v="Chennai"/>
    <n v="24"/>
    <n v="60.25114566159808"/>
    <x v="0"/>
    <n v="2.9890000066550746"/>
    <s v="Rail"/>
    <n v="609.37920661842668"/>
  </r>
  <r>
    <x v="1"/>
    <s v="SKU32"/>
    <n v="79.209936015656723"/>
    <n v="781"/>
    <n v="9571.5504873278187"/>
    <n v="89"/>
    <x v="2"/>
    <n v="6.5991049012385838"/>
    <x v="0"/>
    <s v="Kolkata"/>
    <n v="30"/>
    <n v="29.692467153749774"/>
    <x v="2"/>
    <n v="1.9460361193861131"/>
    <s v="Road"/>
    <n v="761.17390951487755"/>
  </r>
  <r>
    <x v="2"/>
    <s v="SKU33"/>
    <n v="64.795435000155607"/>
    <n v="616"/>
    <n v="5149.9983504080365"/>
    <n v="4"/>
    <x v="2"/>
    <n v="4.85827050343664"/>
    <x v="2"/>
    <s v="Chennai"/>
    <n v="1"/>
    <n v="23.853427512896133"/>
    <x v="1"/>
    <n v="3.5410460122509231"/>
    <s v="Sea"/>
    <n v="371.25529551987103"/>
  </r>
  <r>
    <x v="1"/>
    <s v="SKU34"/>
    <n v="37.467592329842461"/>
    <n v="602"/>
    <n v="9061.7108955077238"/>
    <n v="1"/>
    <x v="1"/>
    <n v="1.0194875708221189"/>
    <x v="1"/>
    <s v="Chennai"/>
    <n v="4"/>
    <n v="10.754272815029333"/>
    <x v="2"/>
    <n v="0.64660455937205485"/>
    <s v="Road"/>
    <n v="510.3580004335235"/>
  </r>
  <r>
    <x v="2"/>
    <s v="SKU35"/>
    <n v="84.957786816350435"/>
    <n v="449"/>
    <n v="6541.3293448024651"/>
    <n v="42"/>
    <x v="2"/>
    <n v="5.2881899903274094"/>
    <x v="1"/>
    <s v="Delhi"/>
    <n v="3"/>
    <n v="58.004787044743765"/>
    <x v="2"/>
    <n v="0.54115409806058112"/>
    <s v="Sea"/>
    <n v="553.42047123035582"/>
  </r>
  <r>
    <x v="1"/>
    <s v="SKU36"/>
    <n v="9.8130025787540518"/>
    <n v="963"/>
    <n v="7573.4024578487333"/>
    <n v="18"/>
    <x v="0"/>
    <n v="2.107951267159081"/>
    <x v="4"/>
    <s v="Delhi"/>
    <n v="26"/>
    <n v="45.531364237162144"/>
    <x v="1"/>
    <n v="3.8055333792433537"/>
    <s v="Air"/>
    <n v="403.8089742481805"/>
  </r>
  <r>
    <x v="1"/>
    <s v="SKU37"/>
    <n v="23.399844752614349"/>
    <n v="963"/>
    <n v="2438.3399304700288"/>
    <n v="25"/>
    <x v="1"/>
    <n v="1.5326552735904306"/>
    <x v="0"/>
    <s v="Kolkata"/>
    <n v="24"/>
    <n v="34.343277465075381"/>
    <x v="0"/>
    <n v="2.6102880848481131"/>
    <s v="Sea"/>
    <n v="183.93296804359437"/>
  </r>
  <r>
    <x v="2"/>
    <s v="SKU38"/>
    <n v="52.075930682707799"/>
    <n v="705"/>
    <n v="9692.3180402184316"/>
    <n v="69"/>
    <x v="0"/>
    <n v="9.2359314372492278"/>
    <x v="2"/>
    <s v="Mumbai"/>
    <n v="10"/>
    <n v="5.9306936455283177"/>
    <x v="0"/>
    <n v="0.61332689916450744"/>
    <s v="Air"/>
    <n v="339.67286994860615"/>
  </r>
  <r>
    <x v="1"/>
    <s v="SKU39"/>
    <n v="19.127477265823256"/>
    <n v="176"/>
    <n v="1912.4656631007608"/>
    <n v="78"/>
    <x v="1"/>
    <n v="5.5625037788303837"/>
    <x v="4"/>
    <s v="Kolkata"/>
    <n v="30"/>
    <n v="9.0058074287816421"/>
    <x v="1"/>
    <n v="1.4519722039968159"/>
    <s v="Air"/>
    <n v="653.67299455203317"/>
  </r>
  <r>
    <x v="1"/>
    <s v="SKU40"/>
    <n v="80.541424170940331"/>
    <n v="933"/>
    <n v="5724.9593504562654"/>
    <n v="90"/>
    <x v="2"/>
    <n v="7.2295951397364737"/>
    <x v="1"/>
    <s v="Kolkata"/>
    <n v="18"/>
    <n v="88.179407104217461"/>
    <x v="0"/>
    <n v="4.2132694305865659"/>
    <s v="Road"/>
    <n v="529.80872398069187"/>
  </r>
  <r>
    <x v="1"/>
    <s v="SKU41"/>
    <n v="99.113291615317166"/>
    <n v="556"/>
    <n v="5521.2052590109715"/>
    <n v="64"/>
    <x v="0"/>
    <n v="5.7732637437666536"/>
    <x v="3"/>
    <s v="Chennai"/>
    <n v="18"/>
    <n v="95.332064548772493"/>
    <x v="1"/>
    <n v="4.530226239825963E-2"/>
    <s v="Sea"/>
    <n v="275.52437113130981"/>
  </r>
  <r>
    <x v="1"/>
    <s v="SKU42"/>
    <n v="46.529167614516773"/>
    <n v="155"/>
    <n v="1839.6094258567639"/>
    <n v="22"/>
    <x v="2"/>
    <n v="7.5262483268515084"/>
    <x v="2"/>
    <s v="Bangalore"/>
    <n v="26"/>
    <n v="96.422820639571867"/>
    <x v="1"/>
    <n v="4.9392552886209478"/>
    <s v="Road"/>
    <n v="635.65712050199193"/>
  </r>
  <r>
    <x v="0"/>
    <s v="SKU43"/>
    <n v="11.743271776309239"/>
    <n v="598"/>
    <n v="5737.425599119023"/>
    <n v="36"/>
    <x v="0"/>
    <n v="3.6940212683884543"/>
    <x v="2"/>
    <s v="Mumbai"/>
    <n v="1"/>
    <n v="26.27736595733241"/>
    <x v="0"/>
    <n v="0.37230476798509771"/>
    <s v="Air"/>
    <n v="716.04411975934067"/>
  </r>
  <r>
    <x v="2"/>
    <s v="SKU44"/>
    <n v="51.35579091311039"/>
    <n v="919"/>
    <n v="7152.2860494355145"/>
    <n v="13"/>
    <x v="2"/>
    <n v="7.5774496573766932"/>
    <x v="4"/>
    <s v="Delhi"/>
    <n v="7"/>
    <n v="22.554106620887744"/>
    <x v="1"/>
    <n v="2.9626263204548819"/>
    <s v="Rail"/>
    <n v="610.45326961922774"/>
  </r>
  <r>
    <x v="0"/>
    <s v="SKU45"/>
    <n v="33.78413803306551"/>
    <n v="24"/>
    <n v="5267.9568075105208"/>
    <n v="93"/>
    <x v="0"/>
    <n v="5.2151550087119096"/>
    <x v="4"/>
    <s v="Chennai"/>
    <n v="25"/>
    <n v="66.312544439991655"/>
    <x v="2"/>
    <n v="3.219604612084106"/>
    <s v="Rail"/>
    <n v="495.30569702847396"/>
  </r>
  <r>
    <x v="0"/>
    <s v="SKU46"/>
    <n v="27.082207199888899"/>
    <n v="859"/>
    <n v="2556.7673606335957"/>
    <n v="92"/>
    <x v="0"/>
    <n v="4.0709558370840826"/>
    <x v="0"/>
    <s v="Chennai"/>
    <n v="18"/>
    <n v="77.32235321105162"/>
    <x v="0"/>
    <n v="3.6486105925362033"/>
    <s v="Road"/>
    <n v="380.43593711196428"/>
  </r>
  <r>
    <x v="1"/>
    <s v="SKU47"/>
    <n v="95.712135880936088"/>
    <n v="910"/>
    <n v="7089.4742499341864"/>
    <n v="4"/>
    <x v="0"/>
    <n v="8.9787507559499709"/>
    <x v="1"/>
    <s v="Kolkata"/>
    <n v="10"/>
    <n v="19.712992911293647"/>
    <x v="0"/>
    <n v="0.38057358671321373"/>
    <s v="Rail"/>
    <n v="581.60235505058677"/>
  </r>
  <r>
    <x v="0"/>
    <s v="SKU48"/>
    <n v="76.035544426891718"/>
    <n v="29"/>
    <n v="7397.0710045871801"/>
    <n v="30"/>
    <x v="2"/>
    <n v="7.0958331565551385"/>
    <x v="4"/>
    <s v="Mumbai"/>
    <n v="9"/>
    <n v="23.126363582464776"/>
    <x v="1"/>
    <n v="1.6981125407144038"/>
    <s v="Rail"/>
    <n v="768.65191395437"/>
  </r>
  <r>
    <x v="2"/>
    <s v="SKU49"/>
    <n v="78.897913205640037"/>
    <n v="99"/>
    <n v="8001.6132065190022"/>
    <n v="97"/>
    <x v="2"/>
    <n v="2.5056210329009154"/>
    <x v="2"/>
    <s v="Delhi"/>
    <n v="28"/>
    <n v="14.147815443979217"/>
    <x v="2"/>
    <n v="2.8258139854001318"/>
    <s v="Rail"/>
    <n v="336.89016851997792"/>
  </r>
  <r>
    <x v="2"/>
    <s v="SKU50"/>
    <n v="14.203484264803022"/>
    <n v="633"/>
    <n v="5910.8853896688988"/>
    <n v="31"/>
    <x v="1"/>
    <n v="6.2478609149759912"/>
    <x v="4"/>
    <s v="Delhi"/>
    <n v="20"/>
    <n v="45.178757924634517"/>
    <x v="1"/>
    <n v="4.7548008046711852"/>
    <s v="Rail"/>
    <n v="496.24865029194046"/>
  </r>
  <r>
    <x v="0"/>
    <s v="SKU51"/>
    <n v="26.70076097246173"/>
    <n v="154"/>
    <n v="9866.465457979697"/>
    <n v="100"/>
    <x v="1"/>
    <n v="4.7830005579476653"/>
    <x v="2"/>
    <s v="Bangalore"/>
    <n v="18"/>
    <n v="14.190328344569981"/>
    <x v="0"/>
    <n v="1.7729511720835571"/>
    <s v="Road"/>
    <n v="694.98231757944586"/>
  </r>
  <r>
    <x v="1"/>
    <s v="SKU52"/>
    <n v="98.031829656465078"/>
    <n v="820"/>
    <n v="9435.7626089121295"/>
    <n v="64"/>
    <x v="0"/>
    <n v="8.6310521797689468"/>
    <x v="1"/>
    <s v="Mumbai"/>
    <n v="10"/>
    <n v="9.1668491485971515"/>
    <x v="0"/>
    <n v="2.1224716191438247"/>
    <s v="Air"/>
    <n v="602.89849883838338"/>
  </r>
  <r>
    <x v="1"/>
    <s v="SKU53"/>
    <n v="30.341470711214214"/>
    <n v="242"/>
    <n v="8232.3348294258212"/>
    <n v="96"/>
    <x v="0"/>
    <n v="1.0134865660958963"/>
    <x v="1"/>
    <s v="Delhi"/>
    <n v="1"/>
    <n v="83.344058991677969"/>
    <x v="0"/>
    <n v="1.4103475760760271"/>
    <s v="Air"/>
    <n v="750.73784066827091"/>
  </r>
  <r>
    <x v="0"/>
    <s v="SKU54"/>
    <n v="31.146243160240854"/>
    <n v="622"/>
    <n v="6088.0214799408586"/>
    <n v="33"/>
    <x v="0"/>
    <n v="4.3051034712876355"/>
    <x v="1"/>
    <s v="Kolkata"/>
    <n v="26"/>
    <n v="30.186023375822508"/>
    <x v="2"/>
    <n v="2.4787719755397477"/>
    <s v="Road"/>
    <n v="814.06999658218751"/>
  </r>
  <r>
    <x v="0"/>
    <s v="SKU55"/>
    <n v="79.855058340789427"/>
    <n v="701"/>
    <n v="2925.6751703038126"/>
    <n v="97"/>
    <x v="1"/>
    <n v="5.0143649550309073"/>
    <x v="4"/>
    <s v="Delhi"/>
    <n v="27"/>
    <n v="30.323545256616502"/>
    <x v="1"/>
    <n v="4.5489196593963852"/>
    <s v="Sea"/>
    <n v="323.01292795247883"/>
  </r>
  <r>
    <x v="1"/>
    <s v="SKU56"/>
    <n v="20.986386037043378"/>
    <n v="93"/>
    <n v="4767.020484344137"/>
    <n v="25"/>
    <x v="2"/>
    <n v="1.7744297140717396"/>
    <x v="1"/>
    <s v="Mumbai"/>
    <n v="24"/>
    <n v="12.836284572832753"/>
    <x v="2"/>
    <n v="1.1737554953874541"/>
    <s v="Air"/>
    <n v="832.21080870602168"/>
  </r>
  <r>
    <x v="0"/>
    <s v="SKU57"/>
    <n v="49.263205350734154"/>
    <n v="227"/>
    <n v="1605.8669003924058"/>
    <n v="5"/>
    <x v="0"/>
    <n v="9.1605585353818704"/>
    <x v="4"/>
    <s v="Delhi"/>
    <n v="21"/>
    <n v="67.779622987078142"/>
    <x v="0"/>
    <n v="2.511174830212707"/>
    <s v="Rail"/>
    <n v="482.19123860252813"/>
  </r>
  <r>
    <x v="1"/>
    <s v="SKU58"/>
    <n v="59.84156137728931"/>
    <n v="896"/>
    <n v="2021.1498103371077"/>
    <n v="10"/>
    <x v="1"/>
    <n v="4.9384385647120901"/>
    <x v="0"/>
    <s v="Delhi"/>
    <n v="18"/>
    <n v="65.047415094691459"/>
    <x v="1"/>
    <n v="1.7303747198591968"/>
    <s v="Road"/>
    <n v="110.36433523136472"/>
  </r>
  <r>
    <x v="2"/>
    <s v="SKU59"/>
    <n v="63.828398347710966"/>
    <n v="484"/>
    <n v="1061.618523013288"/>
    <n v="100"/>
    <x v="0"/>
    <n v="7.2937225968677284"/>
    <x v="1"/>
    <s v="Kolkata"/>
    <n v="11"/>
    <n v="1.900762243519458"/>
    <x v="1"/>
    <n v="0.4471940154638232"/>
    <s v="Air"/>
    <n v="312.57427361009331"/>
  </r>
  <r>
    <x v="1"/>
    <s v="SKU60"/>
    <n v="17.028027920188702"/>
    <n v="380"/>
    <n v="8864.0843495864356"/>
    <n v="41"/>
    <x v="2"/>
    <n v="4.3813681581023145"/>
    <x v="3"/>
    <s v="Mumbai"/>
    <n v="29"/>
    <n v="87.213057815135684"/>
    <x v="1"/>
    <n v="2.8530906166490539"/>
    <s v="Rail"/>
    <n v="430.16909697513654"/>
  </r>
  <r>
    <x v="0"/>
    <s v="SKU61"/>
    <n v="52.028749903294923"/>
    <n v="117"/>
    <n v="6885.5893508962527"/>
    <n v="32"/>
    <x v="2"/>
    <n v="9.0303404225219488"/>
    <x v="3"/>
    <s v="Kolkata"/>
    <n v="14"/>
    <n v="78.702393968878894"/>
    <x v="1"/>
    <n v="4.3674705382050529"/>
    <s v="Air"/>
    <n v="164.36652824341942"/>
  </r>
  <r>
    <x v="2"/>
    <s v="SKU62"/>
    <n v="72.796353955587364"/>
    <n v="270"/>
    <n v="3899.7468337292244"/>
    <n v="86"/>
    <x v="2"/>
    <n v="7.2917013887767759"/>
    <x v="4"/>
    <s v="Mumbai"/>
    <n v="13"/>
    <n v="21.048642725168644"/>
    <x v="2"/>
    <n v="1.8740014040443747"/>
    <s v="Sea"/>
    <n v="320.84651575911158"/>
  </r>
  <r>
    <x v="1"/>
    <s v="SKU63"/>
    <n v="13.017376785287857"/>
    <n v="246"/>
    <n v="4256.9491408502254"/>
    <n v="54"/>
    <x v="1"/>
    <n v="2.45793352798733"/>
    <x v="0"/>
    <s v="Bangalore"/>
    <n v="18"/>
    <n v="20.075003975630484"/>
    <x v="0"/>
    <n v="3.6328432903821337"/>
    <s v="Sea"/>
    <n v="687.28617786641735"/>
  </r>
  <r>
    <x v="1"/>
    <s v="SKU64"/>
    <n v="89.634095608135326"/>
    <n v="134"/>
    <n v="8458.7308783671779"/>
    <n v="73"/>
    <x v="2"/>
    <n v="4.5853534681946524"/>
    <x v="1"/>
    <s v="Delhi"/>
    <n v="17"/>
    <n v="8.6930424258772874"/>
    <x v="1"/>
    <n v="0.15948631471751462"/>
    <s v="Air"/>
    <n v="771.22508468115745"/>
  </r>
  <r>
    <x v="1"/>
    <s v="SKU65"/>
    <n v="33.697717206643127"/>
    <n v="457"/>
    <n v="8354.5796864819949"/>
    <n v="57"/>
    <x v="2"/>
    <n v="6.5805413478845951"/>
    <x v="2"/>
    <s v="Kolkata"/>
    <n v="16"/>
    <n v="1.5972227430506774"/>
    <x v="1"/>
    <n v="4.911095954842331"/>
    <s v="Rail"/>
    <n v="555.85910367174347"/>
  </r>
  <r>
    <x v="1"/>
    <s v="SKU66"/>
    <n v="26.034869773962086"/>
    <n v="704"/>
    <n v="8367.721618020154"/>
    <n v="13"/>
    <x v="1"/>
    <n v="2.2161427287713633"/>
    <x v="2"/>
    <s v="Kolkata"/>
    <n v="24"/>
    <n v="42.084436738309961"/>
    <x v="1"/>
    <n v="3.4480632883402618"/>
    <s v="Road"/>
    <n v="393.84334857842788"/>
  </r>
  <r>
    <x v="1"/>
    <s v="SKU67"/>
    <n v="87.755432354001073"/>
    <n v="513"/>
    <n v="9473.7980325083372"/>
    <n v="12"/>
    <x v="2"/>
    <n v="9.147811544710633"/>
    <x v="1"/>
    <s v="Mumbai"/>
    <n v="10"/>
    <n v="7.0578761469782307"/>
    <x v="2"/>
    <n v="0.13195544431181483"/>
    <s v="Sea"/>
    <n v="169.2718013847869"/>
  </r>
  <r>
    <x v="0"/>
    <s v="SKU68"/>
    <n v="37.931812382790319"/>
    <n v="163"/>
    <n v="3550.2184327809919"/>
    <n v="0"/>
    <x v="0"/>
    <n v="1.1942518648849991"/>
    <x v="4"/>
    <s v="Bangalore"/>
    <n v="2"/>
    <n v="97.113581563462205"/>
    <x v="1"/>
    <n v="1.9834678721741801"/>
    <s v="Rail"/>
    <n v="299.70630311810316"/>
  </r>
  <r>
    <x v="1"/>
    <s v="SKU69"/>
    <n v="54.865528517069791"/>
    <n v="511"/>
    <n v="1752.3810874841247"/>
    <n v="95"/>
    <x v="0"/>
    <n v="9.7052867901203488"/>
    <x v="3"/>
    <s v="Kolkata"/>
    <n v="9"/>
    <n v="77.627765812748166"/>
    <x v="0"/>
    <n v="1.3623879886491086"/>
    <s v="Air"/>
    <n v="207.66320620857562"/>
  </r>
  <r>
    <x v="0"/>
    <s v="SKU70"/>
    <n v="47.914541824058766"/>
    <n v="32"/>
    <n v="7014.8879872033885"/>
    <n v="10"/>
    <x v="0"/>
    <n v="6.3157177546007226"/>
    <x v="1"/>
    <s v="Bangalore"/>
    <n v="22"/>
    <n v="11.440781823761265"/>
    <x v="2"/>
    <n v="1.8305755986122314"/>
    <s v="Road"/>
    <n v="183.27289874871101"/>
  </r>
  <r>
    <x v="2"/>
    <s v="SKU71"/>
    <n v="6.3815331627479663"/>
    <n v="637"/>
    <n v="8180.3370854254426"/>
    <n v="76"/>
    <x v="1"/>
    <n v="9.2281903170525172"/>
    <x v="4"/>
    <s v="Bangalore"/>
    <n v="2"/>
    <n v="30.661677477859556"/>
    <x v="0"/>
    <n v="2.0787506078749689"/>
    <s v="Road"/>
    <n v="405.16706788885585"/>
  </r>
  <r>
    <x v="2"/>
    <s v="SKU72"/>
    <n v="90.204427520528071"/>
    <n v="478"/>
    <n v="2633.1219813122557"/>
    <n v="57"/>
    <x v="1"/>
    <n v="6.5996141596895441"/>
    <x v="1"/>
    <s v="Bangalore"/>
    <n v="21"/>
    <n v="55.760492895244212"/>
    <x v="0"/>
    <n v="3.2133296074383089"/>
    <s v="Rail"/>
    <n v="677.9445698461833"/>
  </r>
  <r>
    <x v="2"/>
    <s v="SKU73"/>
    <n v="83.851017681304597"/>
    <n v="375"/>
    <n v="7910.8869161406856"/>
    <n v="17"/>
    <x v="0"/>
    <n v="1.5129368369160772"/>
    <x v="3"/>
    <s v="Chennai"/>
    <n v="13"/>
    <n v="46.870238797617155"/>
    <x v="1"/>
    <n v="4.6205460645137064"/>
    <s v="Road"/>
    <n v="866.4728001296578"/>
  </r>
  <r>
    <x v="0"/>
    <s v="SKU74"/>
    <n v="3.1700114135661548"/>
    <n v="904"/>
    <n v="5709.9452959692871"/>
    <n v="41"/>
    <x v="1"/>
    <n v="5.2376546500374479"/>
    <x v="3"/>
    <s v="Delhi"/>
    <n v="1"/>
    <n v="80.580852156447818"/>
    <x v="1"/>
    <n v="0.39661272410993542"/>
    <s v="Rail"/>
    <n v="341.55265678322337"/>
  </r>
  <r>
    <x v="1"/>
    <s v="SKU75"/>
    <n v="92.996884233970661"/>
    <n v="106"/>
    <n v="1889.073589779335"/>
    <n v="16"/>
    <x v="2"/>
    <n v="2.4738977610454609"/>
    <x v="1"/>
    <s v="Chennai"/>
    <n v="25"/>
    <n v="48.064782640006591"/>
    <x v="2"/>
    <n v="2.0300690886687516"/>
    <s v="Air"/>
    <n v="873.12964801765145"/>
  </r>
  <r>
    <x v="0"/>
    <s v="SKU76"/>
    <n v="69.108799547430323"/>
    <n v="241"/>
    <n v="5328.3759842977579"/>
    <n v="38"/>
    <x v="1"/>
    <n v="7.0545383368369263"/>
    <x v="4"/>
    <s v="Bangalore"/>
    <n v="25"/>
    <n v="64.323597795600222"/>
    <x v="0"/>
    <n v="2.1800374515822165"/>
    <s v="Rail"/>
    <n v="997.4134501331946"/>
  </r>
  <r>
    <x v="0"/>
    <s v="SKU77"/>
    <n v="57.449742958971477"/>
    <n v="359"/>
    <n v="2483.7601775427947"/>
    <n v="96"/>
    <x v="0"/>
    <n v="6.7809466256178954"/>
    <x v="1"/>
    <s v="Kolkata"/>
    <n v="26"/>
    <n v="42.952444748991837"/>
    <x v="2"/>
    <n v="3.0551418183075478"/>
    <s v="Road"/>
    <n v="852.56809891984994"/>
  </r>
  <r>
    <x v="0"/>
    <s v="SKU78"/>
    <n v="6.3068831761119153"/>
    <n v="946"/>
    <n v="1292.4584179377562"/>
    <n v="5"/>
    <x v="0"/>
    <n v="8.4670497708619905"/>
    <x v="2"/>
    <s v="Mumbai"/>
    <n v="25"/>
    <n v="71.126514720403378"/>
    <x v="0"/>
    <n v="4.0968813324704518"/>
    <s v="Sea"/>
    <n v="323.59220343132216"/>
  </r>
  <r>
    <x v="0"/>
    <s v="SKU79"/>
    <n v="57.057031221103223"/>
    <n v="198"/>
    <n v="7888.7232684270812"/>
    <n v="31"/>
    <x v="0"/>
    <n v="6.4963253642950445"/>
    <x v="0"/>
    <s v="Bangalore"/>
    <n v="5"/>
    <n v="57.87090292403628"/>
    <x v="0"/>
    <n v="0.16587162748060824"/>
    <s v="Air"/>
    <n v="351.50421933503867"/>
  </r>
  <r>
    <x v="1"/>
    <s v="SKU80"/>
    <n v="91.128318350444331"/>
    <n v="872"/>
    <n v="8651.6726829820655"/>
    <n v="39"/>
    <x v="2"/>
    <n v="2.8331846794189746"/>
    <x v="0"/>
    <s v="Chennai"/>
    <n v="8"/>
    <n v="76.961228023820013"/>
    <x v="1"/>
    <n v="2.8496621985053308"/>
    <s v="Sea"/>
    <n v="787.77985049434449"/>
  </r>
  <r>
    <x v="0"/>
    <s v="SKU81"/>
    <n v="72.819206930318217"/>
    <n v="774"/>
    <n v="4384.4134000458625"/>
    <n v="48"/>
    <x v="0"/>
    <n v="4.0662775015120438"/>
    <x v="0"/>
    <s v="Delhi"/>
    <n v="28"/>
    <n v="19.789592941903603"/>
    <x v="0"/>
    <n v="2.5475471215487118"/>
    <s v="Rail"/>
    <n v="276.77833594679885"/>
  </r>
  <r>
    <x v="1"/>
    <s v="SKU82"/>
    <n v="17.034930739467917"/>
    <n v="336"/>
    <n v="2943.3818676094515"/>
    <n v="42"/>
    <x v="1"/>
    <n v="4.7081818735419301"/>
    <x v="4"/>
    <s v="Mumbai"/>
    <n v="6"/>
    <n v="4.4652784349432402"/>
    <x v="0"/>
    <n v="4.1378770486223573"/>
    <s v="Road"/>
    <n v="589.97855562804068"/>
  </r>
  <r>
    <x v="0"/>
    <s v="SKU83"/>
    <n v="68.911246211606326"/>
    <n v="663"/>
    <n v="2411.754632110491"/>
    <n v="65"/>
    <x v="0"/>
    <n v="4.9498395779969488"/>
    <x v="1"/>
    <s v="Bangalore"/>
    <n v="20"/>
    <n v="97.730593800533043"/>
    <x v="1"/>
    <n v="0.77300613406724783"/>
    <s v="Road"/>
    <n v="682.97101822609329"/>
  </r>
  <r>
    <x v="0"/>
    <s v="SKU84"/>
    <n v="89.104367292102253"/>
    <n v="618"/>
    <n v="2048.2900998487103"/>
    <n v="73"/>
    <x v="1"/>
    <n v="8.381615624922631"/>
    <x v="2"/>
    <s v="Chennai"/>
    <n v="24"/>
    <n v="33.808636513209095"/>
    <x v="2"/>
    <n v="4.8434565771180411"/>
    <s v="Air"/>
    <n v="465.45700596368795"/>
  </r>
  <r>
    <x v="2"/>
    <s v="SKU85"/>
    <n v="76.962994415193876"/>
    <n v="25"/>
    <n v="8684.6130592538575"/>
    <n v="15"/>
    <x v="2"/>
    <n v="8.2491687048717282"/>
    <x v="2"/>
    <s v="Chennai"/>
    <n v="4"/>
    <n v="69.929345518672307"/>
    <x v="1"/>
    <n v="1.3744289997457582"/>
    <s v="Road"/>
    <n v="842.68683000464148"/>
  </r>
  <r>
    <x v="1"/>
    <s v="SKU86"/>
    <n v="19.998176940404221"/>
    <n v="223"/>
    <n v="1229.5910285649834"/>
    <n v="32"/>
    <x v="0"/>
    <n v="1.4543053101535515"/>
    <x v="1"/>
    <s v="Mumbai"/>
    <n v="4"/>
    <n v="74.608969995194684"/>
    <x v="2"/>
    <n v="2.0515129307662465"/>
    <s v="Rail"/>
    <n v="264.25488983586649"/>
  </r>
  <r>
    <x v="0"/>
    <s v="SKU87"/>
    <n v="80.41403665035574"/>
    <n v="79"/>
    <n v="5133.8467010866916"/>
    <n v="5"/>
    <x v="1"/>
    <n v="6.5758037975485353"/>
    <x v="0"/>
    <s v="Chennai"/>
    <n v="27"/>
    <n v="28.69699682414317"/>
    <x v="1"/>
    <n v="3.6937377878392756"/>
    <s v="Sea"/>
    <n v="879.3592177349243"/>
  </r>
  <r>
    <x v="2"/>
    <s v="SKU88"/>
    <n v="75.27040697572501"/>
    <n v="737"/>
    <n v="9444.7420330629793"/>
    <n v="60"/>
    <x v="1"/>
    <n v="3.8012531329310777"/>
    <x v="4"/>
    <s v="Mumbai"/>
    <n v="21"/>
    <n v="68.184919057041171"/>
    <x v="0"/>
    <n v="0.722204401882931"/>
    <s v="Sea"/>
    <n v="103.91624796070495"/>
  </r>
  <r>
    <x v="2"/>
    <s v="SKU89"/>
    <n v="97.760085581938668"/>
    <n v="134"/>
    <n v="5924.682566853231"/>
    <n v="90"/>
    <x v="0"/>
    <n v="9.9298162452772587"/>
    <x v="1"/>
    <s v="Kolkata"/>
    <n v="23"/>
    <n v="46.603873381644469"/>
    <x v="0"/>
    <n v="1.9076657339590746"/>
    <s v="Rail"/>
    <n v="517.4999739290605"/>
  </r>
  <r>
    <x v="1"/>
    <s v="SKU90"/>
    <n v="13.881913501359142"/>
    <n v="320"/>
    <n v="9592.6335702803117"/>
    <n v="66"/>
    <x v="0"/>
    <n v="7.6744307081126939"/>
    <x v="0"/>
    <s v="Bangalore"/>
    <n v="8"/>
    <n v="85.675963335797974"/>
    <x v="2"/>
    <n v="1.2193822244013885"/>
    <s v="Rail"/>
    <n v="990.07847250581119"/>
  </r>
  <r>
    <x v="2"/>
    <s v="SKU91"/>
    <n v="62.111965463961788"/>
    <n v="916"/>
    <n v="1935.2067935075991"/>
    <n v="98"/>
    <x v="0"/>
    <n v="7.4715140844011456"/>
    <x v="3"/>
    <s v="Delhi"/>
    <n v="5"/>
    <n v="39.772882502339975"/>
    <x v="0"/>
    <n v="0.62600185820939458"/>
    <s v="Rail"/>
    <n v="996.77831495062378"/>
  </r>
  <r>
    <x v="2"/>
    <s v="SKU92"/>
    <n v="47.714233075820232"/>
    <n v="276"/>
    <n v="2100.1297546259366"/>
    <n v="90"/>
    <x v="0"/>
    <n v="4.4695000261236011"/>
    <x v="4"/>
    <s v="Mumbai"/>
    <n v="4"/>
    <n v="62.612690395614344"/>
    <x v="2"/>
    <n v="0.33343182522473924"/>
    <s v="Rail"/>
    <n v="230.09278253676294"/>
  </r>
  <r>
    <x v="0"/>
    <s v="SKU93"/>
    <n v="69.290831002905492"/>
    <n v="114"/>
    <n v="4531.4021336919095"/>
    <n v="63"/>
    <x v="2"/>
    <n v="7.0064320590043945"/>
    <x v="3"/>
    <s v="Chennai"/>
    <n v="21"/>
    <n v="35.633652343343876"/>
    <x v="1"/>
    <n v="4.1657817954241452"/>
    <s v="Air"/>
    <n v="823.52384588815585"/>
  </r>
  <r>
    <x v="2"/>
    <s v="SKU94"/>
    <n v="3.0376887246314141"/>
    <n v="987"/>
    <n v="7888.3565466618729"/>
    <n v="77"/>
    <x v="0"/>
    <n v="6.9429459420325808"/>
    <x v="4"/>
    <s v="Delhi"/>
    <n v="12"/>
    <n v="60.387378614862122"/>
    <x v="2"/>
    <n v="1.4636074984727798"/>
    <s v="Rail"/>
    <n v="846.66525698669477"/>
  </r>
  <r>
    <x v="0"/>
    <s v="SKU95"/>
    <n v="77.903927219447752"/>
    <n v="672"/>
    <n v="7386.3639440486641"/>
    <n v="15"/>
    <x v="0"/>
    <n v="8.6303388696027543"/>
    <x v="3"/>
    <s v="Mumbai"/>
    <n v="18"/>
    <n v="58.890685768589982"/>
    <x v="0"/>
    <n v="1.2108821295850665"/>
    <s v="Air"/>
    <n v="778.8642413766479"/>
  </r>
  <r>
    <x v="2"/>
    <s v="SKU96"/>
    <n v="24.42313142037338"/>
    <n v="324"/>
    <n v="7698.4247656321168"/>
    <n v="67"/>
    <x v="2"/>
    <n v="5.3528780439968093"/>
    <x v="0"/>
    <s v="Mumbai"/>
    <n v="28"/>
    <n v="17.80375633139127"/>
    <x v="0"/>
    <n v="3.8720476814821332"/>
    <s v="Road"/>
    <n v="188.74214114905698"/>
  </r>
  <r>
    <x v="0"/>
    <s v="SKU97"/>
    <n v="3.5261112591434158"/>
    <n v="62"/>
    <n v="4370.9165799845359"/>
    <n v="46"/>
    <x v="1"/>
    <n v="7.9048456112096748"/>
    <x v="3"/>
    <s v="Mumbai"/>
    <n v="10"/>
    <n v="65.765155926367456"/>
    <x v="1"/>
    <n v="3.3762378347179811"/>
    <s v="Road"/>
    <n v="540.13242286796776"/>
  </r>
  <r>
    <x v="1"/>
    <s v="SKU98"/>
    <n v="19.754604866878601"/>
    <n v="913"/>
    <n v="8525.9525596835265"/>
    <n v="53"/>
    <x v="0"/>
    <n v="1.4098010951380731"/>
    <x v="2"/>
    <s v="Chennai"/>
    <n v="28"/>
    <n v="5.604690864371781"/>
    <x v="0"/>
    <n v="2.9081221693512611"/>
    <s v="Rail"/>
    <n v="882.19886354704147"/>
  </r>
  <r>
    <x v="0"/>
    <s v="SKU99"/>
    <n v="68.517832699276639"/>
    <n v="627"/>
    <n v="9185.1858291817043"/>
    <n v="55"/>
    <x v="0"/>
    <n v="1.3110237561206226"/>
    <x v="4"/>
    <s v="Chennai"/>
    <n v="29"/>
    <n v="38.07289852062604"/>
    <x v="1"/>
    <n v="0.34602729070550342"/>
    <s v="Rail"/>
    <n v="210.743008964246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9D1314-6530-4578-814B-8D22455940BF}"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16">
    <pivotField showAll="0">
      <items count="4">
        <item x="2"/>
        <item h="1" x="0"/>
        <item h="1" x="1"/>
        <item t="default"/>
      </items>
    </pivotField>
    <pivotField showAll="0"/>
    <pivotField showAll="0"/>
    <pivotField showAll="0"/>
    <pivotField dataField="1" showAll="0"/>
    <pivotField showAll="0"/>
    <pivotField showAll="0"/>
    <pivotField showAll="0"/>
    <pivotField axis="axisRow" showAll="0">
      <items count="6">
        <item x="1"/>
        <item h="1" x="4"/>
        <item h="1" x="0"/>
        <item h="1" x="3"/>
        <item h="1" x="2"/>
        <item t="default"/>
      </items>
    </pivotField>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Total Revenue" fld="4" baseField="0"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21E26D-DCEB-4BBB-815B-74120B5D20E1}"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6">
    <pivotField showAll="0">
      <items count="4">
        <item x="2"/>
        <item h="1" x="0"/>
        <item h="1" x="1"/>
        <item t="default"/>
      </items>
    </pivotField>
    <pivotField dataField="1" showAll="0"/>
    <pivotField showAll="0"/>
    <pivotField showAll="0"/>
    <pivotField showAll="0"/>
    <pivotField showAll="0"/>
    <pivotField showAll="0"/>
    <pivotField showAll="0"/>
    <pivotField showAll="0">
      <items count="6">
        <item x="1"/>
        <item h="1" x="4"/>
        <item h="1" x="0"/>
        <item h="1" x="3"/>
        <item h="1" x="2"/>
        <item t="default"/>
      </items>
    </pivotField>
    <pivotField showAll="0"/>
    <pivotField showAll="0"/>
    <pivotField showAll="0"/>
    <pivotField axis="axisRow" showAll="0">
      <items count="4">
        <item x="1"/>
        <item x="2"/>
        <item x="0"/>
        <item t="default"/>
      </items>
    </pivotField>
    <pivotField showAll="0"/>
    <pivotField showAll="0"/>
    <pivotField showAll="0"/>
  </pivotFields>
  <rowFields count="1">
    <field x="12"/>
  </rowFields>
  <rowItems count="4">
    <i>
      <x/>
    </i>
    <i>
      <x v="1"/>
    </i>
    <i>
      <x v="2"/>
    </i>
    <i t="grand">
      <x/>
    </i>
  </rowItems>
  <colItems count="1">
    <i/>
  </colItems>
  <dataFields count="1">
    <dataField name="Count of SKU" fld="1" subtotal="count"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3F30D8-1812-4B84-9EDE-76229812DBCE}"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7" firstHeaderRow="0" firstDataRow="1" firstDataCol="1"/>
  <pivotFields count="16">
    <pivotField showAll="0">
      <items count="4">
        <item x="2"/>
        <item h="1" x="0"/>
        <item h="1" x="1"/>
        <item t="default"/>
      </items>
    </pivotField>
    <pivotField showAll="0"/>
    <pivotField showAll="0"/>
    <pivotField dataField="1" showAll="0"/>
    <pivotField showAll="0"/>
    <pivotField showAll="0"/>
    <pivotField axis="axisRow" showAll="0">
      <items count="4">
        <item x="1"/>
        <item x="0"/>
        <item x="2"/>
        <item t="default"/>
      </items>
    </pivotField>
    <pivotField dataField="1" showAll="0"/>
    <pivotField showAll="0">
      <items count="6">
        <item x="1"/>
        <item h="1" x="4"/>
        <item h="1" x="0"/>
        <item h="1" x="3"/>
        <item h="1" x="2"/>
        <item t="default"/>
      </items>
    </pivotField>
    <pivotField showAll="0"/>
    <pivotField showAll="0"/>
    <pivotField showAll="0"/>
    <pivotField showAll="0"/>
    <pivotField showAll="0"/>
    <pivotField showAll="0"/>
    <pivotField showAll="0"/>
  </pivotFields>
  <rowFields count="1">
    <field x="6"/>
  </rowFields>
  <rowItems count="4">
    <i>
      <x/>
    </i>
    <i>
      <x v="1"/>
    </i>
    <i>
      <x v="2"/>
    </i>
    <i t="grand">
      <x/>
    </i>
  </rowItems>
  <colFields count="1">
    <field x="-2"/>
  </colFields>
  <colItems count="2">
    <i>
      <x/>
    </i>
    <i i="1">
      <x v="1"/>
    </i>
  </colItems>
  <dataFields count="2">
    <dataField name="Total Shipping Cost" fld="7" baseField="0" baseItem="0"/>
    <dataField name="Total Unit Sold" fld="3"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B4346A-7A25-4D36-B58F-BE24298C47EC}"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5" firstHeaderRow="0" firstDataRow="1" firstDataCol="1"/>
  <pivotFields count="16">
    <pivotField axis="axisRow" showAll="0">
      <items count="4">
        <item x="2"/>
        <item h="1" x="0"/>
        <item h="1" x="1"/>
        <item t="default"/>
      </items>
    </pivotField>
    <pivotField showAll="0"/>
    <pivotField showAll="0"/>
    <pivotField dataField="1" showAll="0"/>
    <pivotField showAll="0"/>
    <pivotField dataField="1" showAll="0"/>
    <pivotField showAll="0"/>
    <pivotField showAll="0"/>
    <pivotField showAll="0">
      <items count="6">
        <item x="1"/>
        <item h="1" x="4"/>
        <item h="1" x="0"/>
        <item h="1" x="3"/>
        <item h="1" x="2"/>
        <item t="default"/>
      </items>
    </pivotField>
    <pivotField showAll="0"/>
    <pivotField showAll="0"/>
    <pivotField showAll="0"/>
    <pivotField showAll="0"/>
    <pivotField showAll="0"/>
    <pivotField showAll="0"/>
    <pivotField showAll="0"/>
  </pivotFields>
  <rowFields count="1">
    <field x="0"/>
  </rowFields>
  <rowItems count="2">
    <i>
      <x/>
    </i>
    <i t="grand">
      <x/>
    </i>
  </rowItems>
  <colFields count="1">
    <field x="-2"/>
  </colFields>
  <colItems count="2">
    <i>
      <x/>
    </i>
    <i i="1">
      <x v="1"/>
    </i>
  </colItems>
  <dataFields count="2">
    <dataField name="Sum of Units_Sold" fld="3" baseField="0" baseItem="0"/>
    <dataField name="Avg Stock Level" fld="5" subtotal="average"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7F12924-0B0D-458B-8032-CBE0A13055F2}" autoFormatId="16" applyNumberFormats="0" applyBorderFormats="0" applyFontFormats="0" applyPatternFormats="0" applyAlignmentFormats="0" applyWidthHeightFormats="0">
  <queryTableRefresh nextId="17">
    <queryTableFields count="16">
      <queryTableField id="1" name="Product type" tableColumnId="1"/>
      <queryTableField id="2" name="SKU" tableColumnId="2"/>
      <queryTableField id="3" name="Price" tableColumnId="3"/>
      <queryTableField id="4" name="Units_Sold" tableColumnId="4"/>
      <queryTableField id="5" name="Revenue" tableColumnId="5"/>
      <queryTableField id="6" name="Stock_Level" tableColumnId="6"/>
      <queryTableField id="7" name="Shipping carriers" tableColumnId="7"/>
      <queryTableField id="8" name="Shipping_Cost" tableColumnId="8"/>
      <queryTableField id="9" name="Supplier name" tableColumnId="9"/>
      <queryTableField id="10" name="Location" tableColumnId="10"/>
      <queryTableField id="11" name="Lead_Time" tableColumnId="11"/>
      <queryTableField id="12" name="Mfg_Cost" tableColumnId="12"/>
      <queryTableField id="13" name="Inspection results" tableColumnId="13"/>
      <queryTableField id="14" name="Defect_Rate" tableColumnId="14"/>
      <queryTableField id="15" name="Transportation modes" tableColumnId="15"/>
      <queryTableField id="16" name="Transport_Cost"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DD65D61D-1DD5-4C42-909F-BDF3A0A32909}" sourceName="Product type">
  <pivotTables>
    <pivotTable tabId="6" name="PivotTable4"/>
    <pivotTable tabId="3" name="PivotTable1"/>
    <pivotTable tabId="4" name="PivotTable2"/>
    <pivotTable tabId="5" name="PivotTable3"/>
  </pivotTables>
  <data>
    <tabular pivotCacheId="604596647">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0DB6A484-A17B-4B18-8FBD-901CC7473880}" sourceName="Supplier name">
  <pivotTables>
    <pivotTable tabId="6" name="PivotTable4"/>
    <pivotTable tabId="3" name="PivotTable1"/>
    <pivotTable tabId="4" name="PivotTable2"/>
    <pivotTable tabId="5" name="PivotTable3"/>
  </pivotTables>
  <data>
    <tabular pivotCacheId="604596647">
      <items count="5">
        <i x="1" s="1"/>
        <i x="4"/>
        <i x="0"/>
        <i x="3"/>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9A86EEC3-E6C5-4F98-9F0F-86A93A0C8EC4}" cache="Slicer_Product_type" caption="Product type" showCaption="0" style="SlicerStyleOther1" rowHeight="241300"/>
  <slicer name="Supplier name" xr10:uid="{34D62F31-905D-4E08-8380-C149CC291980}" cache="Slicer_Supplier_name" caption="Supplier name" showCaption="0"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A2AC50-7086-4770-A6B4-AB3F3D1FA1C2}" name="supply_chain_data" displayName="supply_chain_data" ref="A1:P101" tableType="queryTable" totalsRowShown="0">
  <autoFilter ref="A1:P101" xr:uid="{BEA2AC50-7086-4770-A6B4-AB3F3D1FA1C2}"/>
  <tableColumns count="16">
    <tableColumn id="1" xr3:uid="{60BA9AE6-9EF5-497F-9324-467B2D194C8A}" uniqueName="1" name="Product type" queryTableFieldId="1" dataDxfId="6"/>
    <tableColumn id="2" xr3:uid="{38FF9184-BE13-4221-AA73-4B8C8A7B7539}" uniqueName="2" name="SKU" queryTableFieldId="2" dataDxfId="5"/>
    <tableColumn id="3" xr3:uid="{4EF64ACE-42AC-4CB8-93DA-8B36575587E3}" uniqueName="3" name="Price" queryTableFieldId="3"/>
    <tableColumn id="4" xr3:uid="{2105EE1B-0049-445A-B329-21ED2F0AD977}" uniqueName="4" name="Units_Sold" queryTableFieldId="4"/>
    <tableColumn id="5" xr3:uid="{420D40FE-33C2-4FC8-9A72-1BBAC79F9693}" uniqueName="5" name="Revenue" queryTableFieldId="5"/>
    <tableColumn id="6" xr3:uid="{618647C9-765A-4E4B-84E9-4D34C9846D68}" uniqueName="6" name="Stock_Level" queryTableFieldId="6"/>
    <tableColumn id="7" xr3:uid="{C859E0EC-7C99-4795-BA72-9FB0AA5E19A4}" uniqueName="7" name="Shipping carriers" queryTableFieldId="7" dataDxfId="4"/>
    <tableColumn id="8" xr3:uid="{DE78C17C-B5E3-43F4-B775-1A7103A3B74B}" uniqueName="8" name="Shipping_Cost" queryTableFieldId="8"/>
    <tableColumn id="9" xr3:uid="{5E996FE8-1021-4B91-B0AE-64626CEBEE20}" uniqueName="9" name="Supplier name" queryTableFieldId="9" dataDxfId="3"/>
    <tableColumn id="10" xr3:uid="{3B77C8D7-1E96-4E59-9EC1-D9943D84DB88}" uniqueName="10" name="Location" queryTableFieldId="10" dataDxfId="2"/>
    <tableColumn id="11" xr3:uid="{B36DDBC7-C15B-41C6-875C-F195E27D7220}" uniqueName="11" name="Lead_Time" queryTableFieldId="11"/>
    <tableColumn id="12" xr3:uid="{8035FF83-DB1B-48A0-ABF7-5E1EE0913210}" uniqueName="12" name="Mfg_Cost" queryTableFieldId="12"/>
    <tableColumn id="13" xr3:uid="{F96A09AC-C85D-4AC1-A8DD-4D6BD47D8052}" uniqueName="13" name="Inspection results" queryTableFieldId="13" dataDxfId="1"/>
    <tableColumn id="14" xr3:uid="{39CF0B0E-742C-4B62-80A3-E03DF7856BB6}" uniqueName="14" name="Defect_Rate" queryTableFieldId="14"/>
    <tableColumn id="15" xr3:uid="{30FFD2BC-9ADE-4CF7-9920-A3DF64588F21}" uniqueName="15" name="Transportation modes" queryTableFieldId="15" dataDxfId="0"/>
    <tableColumn id="16" xr3:uid="{69B6697A-3D3E-42E8-81D8-BF275DE7ACA6}" uniqueName="16" name="Transport_Cost"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67443-C596-40CC-A1AA-938F7DEABD12}">
  <dimension ref="A3:B5"/>
  <sheetViews>
    <sheetView workbookViewId="0">
      <selection activeCell="D8" sqref="D8"/>
    </sheetView>
  </sheetViews>
  <sheetFormatPr defaultRowHeight="15" x14ac:dyDescent="0.25"/>
  <cols>
    <col min="1" max="1" width="13.140625" bestFit="1" customWidth="1"/>
    <col min="2" max="2" width="13.85546875" bestFit="1" customWidth="1"/>
    <col min="3" max="3" width="15.140625" bestFit="1" customWidth="1"/>
  </cols>
  <sheetData>
    <row r="3" spans="1:2" x14ac:dyDescent="0.25">
      <c r="A3" s="2" t="s">
        <v>139</v>
      </c>
      <c r="B3" t="s">
        <v>143</v>
      </c>
    </row>
    <row r="4" spans="1:2" x14ac:dyDescent="0.25">
      <c r="A4" s="3" t="s">
        <v>27</v>
      </c>
      <c r="B4" s="1">
        <v>33226.376660527676</v>
      </c>
    </row>
    <row r="5" spans="1:2" x14ac:dyDescent="0.25">
      <c r="A5" s="3" t="s">
        <v>140</v>
      </c>
      <c r="B5" s="1">
        <v>33226.376660527676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859CB-11BE-43FF-A833-03C87DA997FE}">
  <dimension ref="A3:B7"/>
  <sheetViews>
    <sheetView workbookViewId="0">
      <selection activeCell="F3" sqref="F3"/>
    </sheetView>
  </sheetViews>
  <sheetFormatPr defaultRowHeight="15" x14ac:dyDescent="0.25"/>
  <cols>
    <col min="1" max="1" width="13.140625" bestFit="1" customWidth="1"/>
    <col min="2" max="2" width="12.5703125" bestFit="1" customWidth="1"/>
  </cols>
  <sheetData>
    <row r="3" spans="1:2" x14ac:dyDescent="0.25">
      <c r="A3" s="2" t="s">
        <v>139</v>
      </c>
      <c r="B3" t="s">
        <v>141</v>
      </c>
    </row>
    <row r="4" spans="1:2" x14ac:dyDescent="0.25">
      <c r="A4" s="3" t="s">
        <v>33</v>
      </c>
      <c r="B4" s="1">
        <v>3</v>
      </c>
    </row>
    <row r="5" spans="1:2" x14ac:dyDescent="0.25">
      <c r="A5" s="3" t="s">
        <v>49</v>
      </c>
      <c r="B5" s="1">
        <v>2</v>
      </c>
    </row>
    <row r="6" spans="1:2" x14ac:dyDescent="0.25">
      <c r="A6" s="3" t="s">
        <v>21</v>
      </c>
      <c r="B6" s="1">
        <v>2</v>
      </c>
    </row>
    <row r="7" spans="1:2" x14ac:dyDescent="0.25">
      <c r="A7" s="3" t="s">
        <v>140</v>
      </c>
      <c r="B7" s="1">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232B2-79A1-4F45-B484-8C2BBE068285}">
  <dimension ref="A3:C7"/>
  <sheetViews>
    <sheetView workbookViewId="0">
      <selection activeCell="H16" sqref="H16"/>
    </sheetView>
  </sheetViews>
  <sheetFormatPr defaultRowHeight="15" x14ac:dyDescent="0.25"/>
  <cols>
    <col min="1" max="1" width="13.140625" bestFit="1" customWidth="1"/>
    <col min="2" max="2" width="18.140625" bestFit="1" customWidth="1"/>
    <col min="3" max="3" width="14.140625" bestFit="1" customWidth="1"/>
  </cols>
  <sheetData>
    <row r="3" spans="1:3" x14ac:dyDescent="0.25">
      <c r="A3" s="2" t="s">
        <v>139</v>
      </c>
      <c r="B3" t="s">
        <v>144</v>
      </c>
      <c r="C3" t="s">
        <v>145</v>
      </c>
    </row>
    <row r="4" spans="1:3" x14ac:dyDescent="0.25">
      <c r="A4" s="3" t="s">
        <v>25</v>
      </c>
      <c r="B4" s="1">
        <v>6.5996141596895441</v>
      </c>
      <c r="C4" s="1">
        <v>478</v>
      </c>
    </row>
    <row r="5" spans="1:3" x14ac:dyDescent="0.25">
      <c r="A5" s="3" t="s">
        <v>18</v>
      </c>
      <c r="B5" s="1">
        <v>35.222652495611243</v>
      </c>
      <c r="C5" s="1">
        <v>1265</v>
      </c>
    </row>
    <row r="6" spans="1:3" x14ac:dyDescent="0.25">
      <c r="A6" s="3" t="s">
        <v>30</v>
      </c>
      <c r="B6" s="1">
        <v>8.8736089485597525</v>
      </c>
      <c r="C6" s="1">
        <v>575</v>
      </c>
    </row>
    <row r="7" spans="1:3" x14ac:dyDescent="0.25">
      <c r="A7" s="3" t="s">
        <v>140</v>
      </c>
      <c r="B7" s="1">
        <v>50.695875603860543</v>
      </c>
      <c r="C7" s="1">
        <v>2318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F724B-BC2A-47A1-87CC-17E3709E6E04}">
  <dimension ref="A3:C5"/>
  <sheetViews>
    <sheetView workbookViewId="0">
      <selection activeCell="C10" sqref="C10"/>
    </sheetView>
  </sheetViews>
  <sheetFormatPr defaultRowHeight="15" x14ac:dyDescent="0.25"/>
  <cols>
    <col min="1" max="1" width="13.140625" bestFit="1" customWidth="1"/>
    <col min="2" max="2" width="17.42578125" bestFit="1" customWidth="1"/>
    <col min="3" max="3" width="14.7109375" bestFit="1" customWidth="1"/>
  </cols>
  <sheetData>
    <row r="3" spans="1:3" x14ac:dyDescent="0.25">
      <c r="A3" s="2" t="s">
        <v>139</v>
      </c>
      <c r="B3" t="s">
        <v>142</v>
      </c>
      <c r="C3" t="s">
        <v>146</v>
      </c>
    </row>
    <row r="4" spans="1:3" x14ac:dyDescent="0.25">
      <c r="A4" s="3" t="s">
        <v>42</v>
      </c>
      <c r="B4" s="1">
        <v>2318</v>
      </c>
      <c r="C4" s="1">
        <v>61</v>
      </c>
    </row>
    <row r="5" spans="1:3" x14ac:dyDescent="0.25">
      <c r="A5" s="3" t="s">
        <v>140</v>
      </c>
      <c r="B5" s="1">
        <v>2318</v>
      </c>
      <c r="C5" s="1">
        <v>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0ED81-AD72-4746-A687-30DF23B0EBDC}">
  <dimension ref="A1:P101"/>
  <sheetViews>
    <sheetView topLeftCell="D1" workbookViewId="0">
      <selection activeCell="N2" sqref="N2"/>
    </sheetView>
  </sheetViews>
  <sheetFormatPr defaultRowHeight="15" x14ac:dyDescent="0.25"/>
  <cols>
    <col min="1" max="1" width="14.5703125" bestFit="1" customWidth="1"/>
    <col min="2" max="2" width="6.85546875" bestFit="1" customWidth="1"/>
    <col min="3" max="3" width="12" bestFit="1" customWidth="1"/>
    <col min="4" max="4" width="12.85546875" bestFit="1" customWidth="1"/>
    <col min="5" max="5" width="12" bestFit="1" customWidth="1"/>
    <col min="6" max="6" width="13.7109375" bestFit="1" customWidth="1"/>
    <col min="7" max="7" width="18.140625" bestFit="1" customWidth="1"/>
    <col min="8" max="8" width="16" bestFit="1" customWidth="1"/>
    <col min="9" max="9" width="16.28515625" bestFit="1" customWidth="1"/>
    <col min="10" max="10" width="10.7109375" bestFit="1" customWidth="1"/>
    <col min="11" max="11" width="12.85546875" bestFit="1" customWidth="1"/>
    <col min="12" max="12" width="12" bestFit="1" customWidth="1"/>
    <col min="13" max="13" width="19.140625" bestFit="1" customWidth="1"/>
    <col min="14" max="14" width="14.140625" bestFit="1" customWidth="1"/>
    <col min="15" max="15" width="23" bestFit="1" customWidth="1"/>
    <col min="16" max="16" width="16.710937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s="1" t="s">
        <v>16</v>
      </c>
      <c r="B2" s="1" t="s">
        <v>17</v>
      </c>
      <c r="C2">
        <v>69.808005542115765</v>
      </c>
      <c r="D2">
        <v>802</v>
      </c>
      <c r="E2">
        <v>8661.9967923923832</v>
      </c>
      <c r="F2">
        <v>58</v>
      </c>
      <c r="G2" s="1" t="s">
        <v>18</v>
      </c>
      <c r="H2">
        <v>2.9565721394308069</v>
      </c>
      <c r="I2" s="1" t="s">
        <v>19</v>
      </c>
      <c r="J2" s="1" t="s">
        <v>20</v>
      </c>
      <c r="K2">
        <v>29</v>
      </c>
      <c r="L2">
        <v>46.279879240508322</v>
      </c>
      <c r="M2" s="1" t="s">
        <v>21</v>
      </c>
      <c r="N2">
        <v>0.22641036084992516</v>
      </c>
      <c r="O2" s="1" t="s">
        <v>22</v>
      </c>
      <c r="P2">
        <v>187.75207545920392</v>
      </c>
    </row>
    <row r="3" spans="1:16" x14ac:dyDescent="0.25">
      <c r="A3" s="1" t="s">
        <v>23</v>
      </c>
      <c r="B3" s="1" t="s">
        <v>24</v>
      </c>
      <c r="C3">
        <v>14.843523275084339</v>
      </c>
      <c r="D3">
        <v>736</v>
      </c>
      <c r="E3">
        <v>7460.9000654458487</v>
      </c>
      <c r="F3">
        <v>53</v>
      </c>
      <c r="G3" s="1" t="s">
        <v>25</v>
      </c>
      <c r="H3">
        <v>9.7165747714313095</v>
      </c>
      <c r="I3" s="1" t="s">
        <v>19</v>
      </c>
      <c r="J3" s="1" t="s">
        <v>20</v>
      </c>
      <c r="K3">
        <v>23</v>
      </c>
      <c r="L3">
        <v>33.616768953730002</v>
      </c>
      <c r="M3" s="1" t="s">
        <v>21</v>
      </c>
      <c r="N3">
        <v>4.8540680263887062</v>
      </c>
      <c r="O3" s="1" t="s">
        <v>22</v>
      </c>
      <c r="P3">
        <v>503.06557914966919</v>
      </c>
    </row>
    <row r="4" spans="1:16" x14ac:dyDescent="0.25">
      <c r="A4" s="1" t="s">
        <v>16</v>
      </c>
      <c r="B4" s="1" t="s">
        <v>26</v>
      </c>
      <c r="C4">
        <v>11.319683293090566</v>
      </c>
      <c r="D4">
        <v>8</v>
      </c>
      <c r="E4">
        <v>9577.7496258687297</v>
      </c>
      <c r="F4">
        <v>1</v>
      </c>
      <c r="G4" s="1" t="s">
        <v>18</v>
      </c>
      <c r="H4">
        <v>8.0544792617321548</v>
      </c>
      <c r="I4" s="1" t="s">
        <v>27</v>
      </c>
      <c r="J4" s="1" t="s">
        <v>20</v>
      </c>
      <c r="K4">
        <v>12</v>
      </c>
      <c r="L4">
        <v>30.688019348284204</v>
      </c>
      <c r="M4" s="1" t="s">
        <v>21</v>
      </c>
      <c r="N4">
        <v>4.580592619199229</v>
      </c>
      <c r="O4" s="1" t="s">
        <v>28</v>
      </c>
      <c r="P4">
        <v>141.92028177151906</v>
      </c>
    </row>
    <row r="5" spans="1:16" x14ac:dyDescent="0.25">
      <c r="A5" s="1" t="s">
        <v>23</v>
      </c>
      <c r="B5" s="1" t="s">
        <v>29</v>
      </c>
      <c r="C5">
        <v>61.163343016437736</v>
      </c>
      <c r="D5">
        <v>83</v>
      </c>
      <c r="E5">
        <v>7766.8364256852328</v>
      </c>
      <c r="F5">
        <v>23</v>
      </c>
      <c r="G5" s="1" t="s">
        <v>30</v>
      </c>
      <c r="H5">
        <v>1.7295685635434288</v>
      </c>
      <c r="I5" s="1" t="s">
        <v>31</v>
      </c>
      <c r="J5" s="1" t="s">
        <v>32</v>
      </c>
      <c r="K5">
        <v>24</v>
      </c>
      <c r="L5">
        <v>35.624741397125028</v>
      </c>
      <c r="M5" s="1" t="s">
        <v>33</v>
      </c>
      <c r="N5">
        <v>4.7466486206477496</v>
      </c>
      <c r="O5" s="1" t="s">
        <v>34</v>
      </c>
      <c r="P5">
        <v>254.77615921928663</v>
      </c>
    </row>
    <row r="6" spans="1:16" x14ac:dyDescent="0.25">
      <c r="A6" s="1" t="s">
        <v>23</v>
      </c>
      <c r="B6" s="1" t="s">
        <v>35</v>
      </c>
      <c r="C6">
        <v>4.8054960363458932</v>
      </c>
      <c r="D6">
        <v>871</v>
      </c>
      <c r="E6">
        <v>2686.5051515674468</v>
      </c>
      <c r="F6">
        <v>5</v>
      </c>
      <c r="G6" s="1" t="s">
        <v>25</v>
      </c>
      <c r="H6">
        <v>3.8905479158706715</v>
      </c>
      <c r="I6" s="1" t="s">
        <v>27</v>
      </c>
      <c r="J6" s="1" t="s">
        <v>36</v>
      </c>
      <c r="K6">
        <v>5</v>
      </c>
      <c r="L6">
        <v>92.065160598712851</v>
      </c>
      <c r="M6" s="1" t="s">
        <v>33</v>
      </c>
      <c r="N6">
        <v>3.1455795228330019</v>
      </c>
      <c r="O6" s="1" t="s">
        <v>28</v>
      </c>
      <c r="P6">
        <v>923.44063171192215</v>
      </c>
    </row>
    <row r="7" spans="1:16" x14ac:dyDescent="0.25">
      <c r="A7" s="1" t="s">
        <v>16</v>
      </c>
      <c r="B7" s="1" t="s">
        <v>37</v>
      </c>
      <c r="C7">
        <v>1.6999760138659377</v>
      </c>
      <c r="D7">
        <v>147</v>
      </c>
      <c r="E7">
        <v>2828.3487459757589</v>
      </c>
      <c r="F7">
        <v>90</v>
      </c>
      <c r="G7" s="1" t="s">
        <v>18</v>
      </c>
      <c r="H7">
        <v>4.4440988643822932</v>
      </c>
      <c r="I7" s="1" t="s">
        <v>38</v>
      </c>
      <c r="J7" s="1" t="s">
        <v>39</v>
      </c>
      <c r="K7">
        <v>10</v>
      </c>
      <c r="L7">
        <v>56.766475557431797</v>
      </c>
      <c r="M7" s="1" t="s">
        <v>33</v>
      </c>
      <c r="N7">
        <v>2.7791935115711617</v>
      </c>
      <c r="O7" s="1" t="s">
        <v>22</v>
      </c>
      <c r="P7">
        <v>235.46123673553751</v>
      </c>
    </row>
    <row r="8" spans="1:16" x14ac:dyDescent="0.25">
      <c r="A8" s="1" t="s">
        <v>23</v>
      </c>
      <c r="B8" s="1" t="s">
        <v>40</v>
      </c>
      <c r="C8">
        <v>4.0783328631079447</v>
      </c>
      <c r="D8">
        <v>65</v>
      </c>
      <c r="E8">
        <v>7823.4765595317367</v>
      </c>
      <c r="F8">
        <v>11</v>
      </c>
      <c r="G8" s="1" t="s">
        <v>30</v>
      </c>
      <c r="H8">
        <v>3.8807633029520034</v>
      </c>
      <c r="I8" s="1" t="s">
        <v>19</v>
      </c>
      <c r="J8" s="1" t="s">
        <v>32</v>
      </c>
      <c r="K8">
        <v>14</v>
      </c>
      <c r="L8">
        <v>1.0850685695870688</v>
      </c>
      <c r="M8" s="1" t="s">
        <v>21</v>
      </c>
      <c r="N8">
        <v>1.0009106193041357</v>
      </c>
      <c r="O8" s="1" t="s">
        <v>41</v>
      </c>
      <c r="P8">
        <v>134.36909686103172</v>
      </c>
    </row>
    <row r="9" spans="1:16" x14ac:dyDescent="0.25">
      <c r="A9" s="1" t="s">
        <v>42</v>
      </c>
      <c r="B9" s="1" t="s">
        <v>43</v>
      </c>
      <c r="C9">
        <v>42.958384382460068</v>
      </c>
      <c r="D9">
        <v>426</v>
      </c>
      <c r="E9">
        <v>8496.1038130898378</v>
      </c>
      <c r="F9">
        <v>93</v>
      </c>
      <c r="G9" s="1" t="s">
        <v>18</v>
      </c>
      <c r="H9">
        <v>2.3483387844177805</v>
      </c>
      <c r="I9" s="1" t="s">
        <v>38</v>
      </c>
      <c r="J9" s="1" t="s">
        <v>39</v>
      </c>
      <c r="K9">
        <v>22</v>
      </c>
      <c r="L9">
        <v>99.466108603599125</v>
      </c>
      <c r="M9" s="1" t="s">
        <v>33</v>
      </c>
      <c r="N9">
        <v>0.39817718685065062</v>
      </c>
      <c r="O9" s="1" t="s">
        <v>22</v>
      </c>
      <c r="P9">
        <v>802.05631181755859</v>
      </c>
    </row>
    <row r="10" spans="1:16" x14ac:dyDescent="0.25">
      <c r="A10" s="1" t="s">
        <v>42</v>
      </c>
      <c r="B10" s="1" t="s">
        <v>44</v>
      </c>
      <c r="C10">
        <v>68.717596748527328</v>
      </c>
      <c r="D10">
        <v>150</v>
      </c>
      <c r="E10">
        <v>7517.363210631127</v>
      </c>
      <c r="F10">
        <v>5</v>
      </c>
      <c r="G10" s="1" t="s">
        <v>30</v>
      </c>
      <c r="H10">
        <v>3.4047338570830266</v>
      </c>
      <c r="I10" s="1" t="s">
        <v>38</v>
      </c>
      <c r="J10" s="1" t="s">
        <v>20</v>
      </c>
      <c r="K10">
        <v>13</v>
      </c>
      <c r="L10">
        <v>11.423027139565695</v>
      </c>
      <c r="M10" s="1" t="s">
        <v>21</v>
      </c>
      <c r="N10">
        <v>2.7098626911099615</v>
      </c>
      <c r="O10" s="1" t="s">
        <v>41</v>
      </c>
      <c r="P10">
        <v>505.55713422546415</v>
      </c>
    </row>
    <row r="11" spans="1:16" x14ac:dyDescent="0.25">
      <c r="A11" s="1" t="s">
        <v>23</v>
      </c>
      <c r="B11" s="1" t="s">
        <v>45</v>
      </c>
      <c r="C11">
        <v>64.015732941278543</v>
      </c>
      <c r="D11">
        <v>980</v>
      </c>
      <c r="E11">
        <v>4971.145987585558</v>
      </c>
      <c r="F11">
        <v>14</v>
      </c>
      <c r="G11" s="1" t="s">
        <v>25</v>
      </c>
      <c r="H11">
        <v>7.1666452910482157</v>
      </c>
      <c r="I11" s="1" t="s">
        <v>46</v>
      </c>
      <c r="J11" s="1" t="s">
        <v>47</v>
      </c>
      <c r="K11">
        <v>29</v>
      </c>
      <c r="L11">
        <v>47.95760163495158</v>
      </c>
      <c r="M11" s="1" t="s">
        <v>21</v>
      </c>
      <c r="N11">
        <v>3.8446144787675851</v>
      </c>
      <c r="O11" s="1" t="s">
        <v>34</v>
      </c>
      <c r="P11">
        <v>995.92946149864167</v>
      </c>
    </row>
    <row r="12" spans="1:16" x14ac:dyDescent="0.25">
      <c r="A12" s="1" t="s">
        <v>23</v>
      </c>
      <c r="B12" s="1" t="s">
        <v>48</v>
      </c>
      <c r="C12">
        <v>15.707795681912138</v>
      </c>
      <c r="D12">
        <v>996</v>
      </c>
      <c r="E12">
        <v>2330.9658020919492</v>
      </c>
      <c r="F12">
        <v>51</v>
      </c>
      <c r="G12" s="1" t="s">
        <v>30</v>
      </c>
      <c r="H12">
        <v>8.6732112112786126</v>
      </c>
      <c r="I12" s="1" t="s">
        <v>31</v>
      </c>
      <c r="J12" s="1" t="s">
        <v>32</v>
      </c>
      <c r="K12">
        <v>18</v>
      </c>
      <c r="L12">
        <v>96.52735278531091</v>
      </c>
      <c r="M12" s="1" t="s">
        <v>49</v>
      </c>
      <c r="N12">
        <v>1.7273139283559424</v>
      </c>
      <c r="O12" s="1" t="s">
        <v>22</v>
      </c>
      <c r="P12">
        <v>806.10317770292295</v>
      </c>
    </row>
    <row r="13" spans="1:16" x14ac:dyDescent="0.25">
      <c r="A13" s="1" t="s">
        <v>23</v>
      </c>
      <c r="B13" s="1" t="s">
        <v>50</v>
      </c>
      <c r="C13">
        <v>90.635459982288666</v>
      </c>
      <c r="D13">
        <v>960</v>
      </c>
      <c r="E13">
        <v>6099.944115581452</v>
      </c>
      <c r="F13">
        <v>46</v>
      </c>
      <c r="G13" s="1" t="s">
        <v>25</v>
      </c>
      <c r="H13">
        <v>4.5239431243166628</v>
      </c>
      <c r="I13" s="1" t="s">
        <v>46</v>
      </c>
      <c r="J13" s="1" t="s">
        <v>32</v>
      </c>
      <c r="K13">
        <v>28</v>
      </c>
      <c r="L13">
        <v>27.592363086663696</v>
      </c>
      <c r="M13" s="1" t="s">
        <v>21</v>
      </c>
      <c r="N13">
        <v>2.1169821372994391E-2</v>
      </c>
      <c r="O13" s="1" t="s">
        <v>28</v>
      </c>
      <c r="P13">
        <v>126.72303340940725</v>
      </c>
    </row>
    <row r="14" spans="1:16" x14ac:dyDescent="0.25">
      <c r="A14" s="1" t="s">
        <v>16</v>
      </c>
      <c r="B14" s="1" t="s">
        <v>51</v>
      </c>
      <c r="C14">
        <v>71.213389075360084</v>
      </c>
      <c r="D14">
        <v>336</v>
      </c>
      <c r="E14">
        <v>2873.7414460214413</v>
      </c>
      <c r="F14">
        <v>100</v>
      </c>
      <c r="G14" s="1" t="s">
        <v>25</v>
      </c>
      <c r="H14">
        <v>1.325274010184522</v>
      </c>
      <c r="I14" s="1" t="s">
        <v>38</v>
      </c>
      <c r="J14" s="1" t="s">
        <v>32</v>
      </c>
      <c r="K14">
        <v>3</v>
      </c>
      <c r="L14">
        <v>32.321286213424031</v>
      </c>
      <c r="M14" s="1" t="s">
        <v>33</v>
      </c>
      <c r="N14">
        <v>2.1612537475559117</v>
      </c>
      <c r="O14" s="1" t="s">
        <v>22</v>
      </c>
      <c r="P14">
        <v>402.96878907377061</v>
      </c>
    </row>
    <row r="15" spans="1:16" x14ac:dyDescent="0.25">
      <c r="A15" s="1" t="s">
        <v>23</v>
      </c>
      <c r="B15" s="1" t="s">
        <v>52</v>
      </c>
      <c r="C15">
        <v>16.160393317379977</v>
      </c>
      <c r="D15">
        <v>249</v>
      </c>
      <c r="E15">
        <v>4052.7384162378667</v>
      </c>
      <c r="F15">
        <v>80</v>
      </c>
      <c r="G15" s="1" t="s">
        <v>25</v>
      </c>
      <c r="H15">
        <v>9.5372830611083383</v>
      </c>
      <c r="I15" s="1" t="s">
        <v>31</v>
      </c>
      <c r="J15" s="1" t="s">
        <v>39</v>
      </c>
      <c r="K15">
        <v>23</v>
      </c>
      <c r="L15">
        <v>97.82905011017327</v>
      </c>
      <c r="M15" s="1" t="s">
        <v>21</v>
      </c>
      <c r="N15">
        <v>1.6310742300715386</v>
      </c>
      <c r="O15" s="1" t="s">
        <v>22</v>
      </c>
      <c r="P15">
        <v>547.24100516096848</v>
      </c>
    </row>
    <row r="16" spans="1:16" x14ac:dyDescent="0.25">
      <c r="A16" s="1" t="s">
        <v>23</v>
      </c>
      <c r="B16" s="1" t="s">
        <v>53</v>
      </c>
      <c r="C16">
        <v>99.171328638624189</v>
      </c>
      <c r="D16">
        <v>562</v>
      </c>
      <c r="E16">
        <v>8653.5709264698016</v>
      </c>
      <c r="F16">
        <v>54</v>
      </c>
      <c r="G16" s="1" t="s">
        <v>18</v>
      </c>
      <c r="H16">
        <v>2.0397701894493316</v>
      </c>
      <c r="I16" s="1" t="s">
        <v>27</v>
      </c>
      <c r="J16" s="1" t="s">
        <v>32</v>
      </c>
      <c r="K16">
        <v>25</v>
      </c>
      <c r="L16">
        <v>5.7914366298629893</v>
      </c>
      <c r="M16" s="1" t="s">
        <v>21</v>
      </c>
      <c r="N16">
        <v>0.10068285156509371</v>
      </c>
      <c r="O16" s="1" t="s">
        <v>28</v>
      </c>
      <c r="P16">
        <v>929.23528996088965</v>
      </c>
    </row>
    <row r="17" spans="1:16" x14ac:dyDescent="0.25">
      <c r="A17" s="1" t="s">
        <v>23</v>
      </c>
      <c r="B17" s="1" t="s">
        <v>54</v>
      </c>
      <c r="C17">
        <v>36.98924492862691</v>
      </c>
      <c r="D17">
        <v>469</v>
      </c>
      <c r="E17">
        <v>5442.0867853976733</v>
      </c>
      <c r="F17">
        <v>9</v>
      </c>
      <c r="G17" s="1" t="s">
        <v>18</v>
      </c>
      <c r="H17">
        <v>2.4220397232752044</v>
      </c>
      <c r="I17" s="1" t="s">
        <v>27</v>
      </c>
      <c r="J17" s="1" t="s">
        <v>39</v>
      </c>
      <c r="K17">
        <v>14</v>
      </c>
      <c r="L17">
        <v>97.121281751474314</v>
      </c>
      <c r="M17" s="1" t="s">
        <v>49</v>
      </c>
      <c r="N17">
        <v>2.2644057611985491</v>
      </c>
      <c r="O17" s="1" t="s">
        <v>41</v>
      </c>
      <c r="P17">
        <v>127.86180000162541</v>
      </c>
    </row>
    <row r="18" spans="1:16" x14ac:dyDescent="0.25">
      <c r="A18" s="1" t="s">
        <v>23</v>
      </c>
      <c r="B18" s="1" t="s">
        <v>55</v>
      </c>
      <c r="C18">
        <v>7.5471721097912718</v>
      </c>
      <c r="D18">
        <v>280</v>
      </c>
      <c r="E18">
        <v>6453.7979681762854</v>
      </c>
      <c r="F18">
        <v>2</v>
      </c>
      <c r="G18" s="1" t="s">
        <v>18</v>
      </c>
      <c r="H18">
        <v>4.1913245857055017</v>
      </c>
      <c r="I18" s="1" t="s">
        <v>27</v>
      </c>
      <c r="J18" s="1" t="s">
        <v>39</v>
      </c>
      <c r="K18">
        <v>3</v>
      </c>
      <c r="L18">
        <v>77.106342497850008</v>
      </c>
      <c r="M18" s="1" t="s">
        <v>49</v>
      </c>
      <c r="N18">
        <v>1.0125630892580491</v>
      </c>
      <c r="O18" s="1" t="s">
        <v>28</v>
      </c>
      <c r="P18">
        <v>865.52577977124031</v>
      </c>
    </row>
    <row r="19" spans="1:16" x14ac:dyDescent="0.25">
      <c r="A19" s="1" t="s">
        <v>42</v>
      </c>
      <c r="B19" s="1" t="s">
        <v>56</v>
      </c>
      <c r="C19">
        <v>81.462534369237019</v>
      </c>
      <c r="D19">
        <v>126</v>
      </c>
      <c r="E19">
        <v>2629.3964348452619</v>
      </c>
      <c r="F19">
        <v>45</v>
      </c>
      <c r="G19" s="1" t="s">
        <v>30</v>
      </c>
      <c r="H19">
        <v>3.5854189582323421</v>
      </c>
      <c r="I19" s="1" t="s">
        <v>27</v>
      </c>
      <c r="J19" s="1" t="s">
        <v>47</v>
      </c>
      <c r="K19">
        <v>7</v>
      </c>
      <c r="L19">
        <v>47.679680368355335</v>
      </c>
      <c r="M19" s="1" t="s">
        <v>33</v>
      </c>
      <c r="N19">
        <v>0.10202075491817619</v>
      </c>
      <c r="O19" s="1" t="s">
        <v>28</v>
      </c>
      <c r="P19">
        <v>670.93439079241034</v>
      </c>
    </row>
    <row r="20" spans="1:16" x14ac:dyDescent="0.25">
      <c r="A20" s="1" t="s">
        <v>16</v>
      </c>
      <c r="B20" s="1" t="s">
        <v>57</v>
      </c>
      <c r="C20">
        <v>36.443627770460935</v>
      </c>
      <c r="D20">
        <v>620</v>
      </c>
      <c r="E20">
        <v>9364.6735050761727</v>
      </c>
      <c r="F20">
        <v>10</v>
      </c>
      <c r="G20" s="1" t="s">
        <v>30</v>
      </c>
      <c r="H20">
        <v>4.339224714110709</v>
      </c>
      <c r="I20" s="1" t="s">
        <v>46</v>
      </c>
      <c r="J20" s="1" t="s">
        <v>32</v>
      </c>
      <c r="K20">
        <v>18</v>
      </c>
      <c r="L20">
        <v>27.10798085484392</v>
      </c>
      <c r="M20" s="1" t="s">
        <v>21</v>
      </c>
      <c r="N20">
        <v>2.2319391107292637</v>
      </c>
      <c r="O20" s="1" t="s">
        <v>41</v>
      </c>
      <c r="P20">
        <v>593.48025872065182</v>
      </c>
    </row>
    <row r="21" spans="1:16" x14ac:dyDescent="0.25">
      <c r="A21" s="1" t="s">
        <v>23</v>
      </c>
      <c r="B21" s="1" t="s">
        <v>58</v>
      </c>
      <c r="C21">
        <v>51.12387008796474</v>
      </c>
      <c r="D21">
        <v>187</v>
      </c>
      <c r="E21">
        <v>2553.4955849912149</v>
      </c>
      <c r="F21">
        <v>48</v>
      </c>
      <c r="G21" s="1" t="s">
        <v>25</v>
      </c>
      <c r="H21">
        <v>4.7426358828418769</v>
      </c>
      <c r="I21" s="1" t="s">
        <v>38</v>
      </c>
      <c r="J21" s="1" t="s">
        <v>47</v>
      </c>
      <c r="K21">
        <v>20</v>
      </c>
      <c r="L21">
        <v>82.373320587990207</v>
      </c>
      <c r="M21" s="1" t="s">
        <v>33</v>
      </c>
      <c r="N21">
        <v>3.6464508654170293</v>
      </c>
      <c r="O21" s="1" t="s">
        <v>22</v>
      </c>
      <c r="P21">
        <v>477.30763109090344</v>
      </c>
    </row>
    <row r="22" spans="1:16" x14ac:dyDescent="0.25">
      <c r="A22" s="1" t="s">
        <v>23</v>
      </c>
      <c r="B22" s="1" t="s">
        <v>59</v>
      </c>
      <c r="C22">
        <v>96.341072439963384</v>
      </c>
      <c r="D22">
        <v>320</v>
      </c>
      <c r="E22">
        <v>8128.0276968511916</v>
      </c>
      <c r="F22">
        <v>27</v>
      </c>
      <c r="G22" s="1" t="s">
        <v>25</v>
      </c>
      <c r="H22">
        <v>8.8783346509268402</v>
      </c>
      <c r="I22" s="1" t="s">
        <v>27</v>
      </c>
      <c r="J22" s="1" t="s">
        <v>47</v>
      </c>
      <c r="K22">
        <v>29</v>
      </c>
      <c r="L22">
        <v>65.686259608488626</v>
      </c>
      <c r="M22" s="1" t="s">
        <v>49</v>
      </c>
      <c r="N22">
        <v>4.2314165735345393</v>
      </c>
      <c r="O22" s="1" t="s">
        <v>28</v>
      </c>
      <c r="P22">
        <v>493.87121531620585</v>
      </c>
    </row>
    <row r="23" spans="1:16" x14ac:dyDescent="0.25">
      <c r="A23" s="1" t="s">
        <v>42</v>
      </c>
      <c r="B23" s="1" t="s">
        <v>60</v>
      </c>
      <c r="C23">
        <v>84.893868984950828</v>
      </c>
      <c r="D23">
        <v>601</v>
      </c>
      <c r="E23">
        <v>7087.0526963574366</v>
      </c>
      <c r="F23">
        <v>69</v>
      </c>
      <c r="G23" s="1" t="s">
        <v>18</v>
      </c>
      <c r="H23">
        <v>6.0378837692182978</v>
      </c>
      <c r="I23" s="1" t="s">
        <v>31</v>
      </c>
      <c r="J23" s="1" t="s">
        <v>47</v>
      </c>
      <c r="K23">
        <v>19</v>
      </c>
      <c r="L23">
        <v>61.735728954160933</v>
      </c>
      <c r="M23" s="1" t="s">
        <v>21</v>
      </c>
      <c r="N23">
        <v>1.8607567631014899E-2</v>
      </c>
      <c r="O23" s="1" t="s">
        <v>28</v>
      </c>
      <c r="P23">
        <v>523.36091472015801</v>
      </c>
    </row>
    <row r="24" spans="1:16" x14ac:dyDescent="0.25">
      <c r="A24" s="1" t="s">
        <v>16</v>
      </c>
      <c r="B24" s="1" t="s">
        <v>61</v>
      </c>
      <c r="C24">
        <v>27.679780886501959</v>
      </c>
      <c r="D24">
        <v>884</v>
      </c>
      <c r="E24">
        <v>2390.8078665561734</v>
      </c>
      <c r="F24">
        <v>71</v>
      </c>
      <c r="G24" s="1" t="s">
        <v>25</v>
      </c>
      <c r="H24">
        <v>9.5676489209230393</v>
      </c>
      <c r="I24" s="1" t="s">
        <v>38</v>
      </c>
      <c r="J24" s="1" t="s">
        <v>32</v>
      </c>
      <c r="K24">
        <v>22</v>
      </c>
      <c r="L24">
        <v>50.120839612977349</v>
      </c>
      <c r="M24" s="1" t="s">
        <v>33</v>
      </c>
      <c r="N24">
        <v>2.5912754732111161</v>
      </c>
      <c r="O24" s="1" t="s">
        <v>34</v>
      </c>
      <c r="P24">
        <v>205.57199582694707</v>
      </c>
    </row>
    <row r="25" spans="1:16" x14ac:dyDescent="0.25">
      <c r="A25" s="1" t="s">
        <v>42</v>
      </c>
      <c r="B25" s="1" t="s">
        <v>62</v>
      </c>
      <c r="C25">
        <v>4.3243411858641636</v>
      </c>
      <c r="D25">
        <v>391</v>
      </c>
      <c r="E25">
        <v>8858.367571011484</v>
      </c>
      <c r="F25">
        <v>84</v>
      </c>
      <c r="G25" s="1" t="s">
        <v>25</v>
      </c>
      <c r="H25">
        <v>2.924857601145554</v>
      </c>
      <c r="I25" s="1" t="s">
        <v>31</v>
      </c>
      <c r="J25" s="1" t="s">
        <v>32</v>
      </c>
      <c r="K25">
        <v>11</v>
      </c>
      <c r="L25">
        <v>98.609957242703871</v>
      </c>
      <c r="M25" s="1" t="s">
        <v>21</v>
      </c>
      <c r="N25">
        <v>1.3422915627227339</v>
      </c>
      <c r="O25" s="1" t="s">
        <v>34</v>
      </c>
      <c r="P25">
        <v>196.32944611241268</v>
      </c>
    </row>
    <row r="26" spans="1:16" x14ac:dyDescent="0.25">
      <c r="A26" s="1" t="s">
        <v>16</v>
      </c>
      <c r="B26" s="1" t="s">
        <v>63</v>
      </c>
      <c r="C26">
        <v>4.1563083593111081</v>
      </c>
      <c r="D26">
        <v>209</v>
      </c>
      <c r="E26">
        <v>9049.0778609398967</v>
      </c>
      <c r="F26">
        <v>4</v>
      </c>
      <c r="G26" s="1" t="s">
        <v>30</v>
      </c>
      <c r="H26">
        <v>9.7412916892843686</v>
      </c>
      <c r="I26" s="1" t="s">
        <v>46</v>
      </c>
      <c r="J26" s="1" t="s">
        <v>39</v>
      </c>
      <c r="K26">
        <v>28</v>
      </c>
      <c r="L26">
        <v>40.382359702924816</v>
      </c>
      <c r="M26" s="1" t="s">
        <v>21</v>
      </c>
      <c r="N26">
        <v>3.691310292628728</v>
      </c>
      <c r="O26" s="1" t="s">
        <v>28</v>
      </c>
      <c r="P26">
        <v>758.72477260293829</v>
      </c>
    </row>
    <row r="27" spans="1:16" x14ac:dyDescent="0.25">
      <c r="A27" s="1" t="s">
        <v>16</v>
      </c>
      <c r="B27" s="1" t="s">
        <v>64</v>
      </c>
      <c r="C27">
        <v>39.629343985092625</v>
      </c>
      <c r="D27">
        <v>142</v>
      </c>
      <c r="E27">
        <v>2174.777054350654</v>
      </c>
      <c r="F27">
        <v>82</v>
      </c>
      <c r="G27" s="1" t="s">
        <v>30</v>
      </c>
      <c r="H27">
        <v>2.2310736812817278</v>
      </c>
      <c r="I27" s="1" t="s">
        <v>38</v>
      </c>
      <c r="J27" s="1" t="s">
        <v>32</v>
      </c>
      <c r="K27">
        <v>19</v>
      </c>
      <c r="L27">
        <v>78.280383118415386</v>
      </c>
      <c r="M27" s="1" t="s">
        <v>21</v>
      </c>
      <c r="N27">
        <v>3.7972312171141831</v>
      </c>
      <c r="O27" s="1" t="s">
        <v>22</v>
      </c>
      <c r="P27">
        <v>458.53594573920907</v>
      </c>
    </row>
    <row r="28" spans="1:16" x14ac:dyDescent="0.25">
      <c r="A28" s="1" t="s">
        <v>16</v>
      </c>
      <c r="B28" s="1" t="s">
        <v>65</v>
      </c>
      <c r="C28">
        <v>97.44694661789282</v>
      </c>
      <c r="D28">
        <v>353</v>
      </c>
      <c r="E28">
        <v>3716.4933258940368</v>
      </c>
      <c r="F28">
        <v>59</v>
      </c>
      <c r="G28" s="1" t="s">
        <v>18</v>
      </c>
      <c r="H28">
        <v>6.5075486210785511</v>
      </c>
      <c r="I28" s="1" t="s">
        <v>46</v>
      </c>
      <c r="J28" s="1" t="s">
        <v>39</v>
      </c>
      <c r="K28">
        <v>26</v>
      </c>
      <c r="L28">
        <v>15.972229757181761</v>
      </c>
      <c r="M28" s="1" t="s">
        <v>49</v>
      </c>
      <c r="N28">
        <v>2.1193197367249228</v>
      </c>
      <c r="O28" s="1" t="s">
        <v>34</v>
      </c>
      <c r="P28">
        <v>617.8669164583772</v>
      </c>
    </row>
    <row r="29" spans="1:16" x14ac:dyDescent="0.25">
      <c r="A29" s="1" t="s">
        <v>42</v>
      </c>
      <c r="B29" s="1" t="s">
        <v>66</v>
      </c>
      <c r="C29">
        <v>92.557360812402024</v>
      </c>
      <c r="D29">
        <v>352</v>
      </c>
      <c r="E29">
        <v>2686.4572235759833</v>
      </c>
      <c r="F29">
        <v>47</v>
      </c>
      <c r="G29" s="1" t="s">
        <v>30</v>
      </c>
      <c r="H29">
        <v>7.406750952998074</v>
      </c>
      <c r="I29" s="1" t="s">
        <v>31</v>
      </c>
      <c r="J29" s="1" t="s">
        <v>20</v>
      </c>
      <c r="K29">
        <v>25</v>
      </c>
      <c r="L29">
        <v>10.528245070042162</v>
      </c>
      <c r="M29" s="1" t="s">
        <v>33</v>
      </c>
      <c r="N29">
        <v>2.8646678378833732</v>
      </c>
      <c r="O29" s="1" t="s">
        <v>41</v>
      </c>
      <c r="P29">
        <v>762.45918215568372</v>
      </c>
    </row>
    <row r="30" spans="1:16" x14ac:dyDescent="0.25">
      <c r="A30" s="1" t="s">
        <v>42</v>
      </c>
      <c r="B30" s="1" t="s">
        <v>67</v>
      </c>
      <c r="C30">
        <v>2.3972747055971411</v>
      </c>
      <c r="D30">
        <v>394</v>
      </c>
      <c r="E30">
        <v>6117.3246150839923</v>
      </c>
      <c r="F30">
        <v>48</v>
      </c>
      <c r="G30" s="1" t="s">
        <v>18</v>
      </c>
      <c r="H30">
        <v>9.898140508069222</v>
      </c>
      <c r="I30" s="1" t="s">
        <v>27</v>
      </c>
      <c r="J30" s="1" t="s">
        <v>20</v>
      </c>
      <c r="K30">
        <v>13</v>
      </c>
      <c r="L30">
        <v>59.429381810691567</v>
      </c>
      <c r="M30" s="1" t="s">
        <v>33</v>
      </c>
      <c r="N30">
        <v>0.81575707929567198</v>
      </c>
      <c r="O30" s="1" t="s">
        <v>28</v>
      </c>
      <c r="P30">
        <v>123.43702751182708</v>
      </c>
    </row>
    <row r="31" spans="1:16" x14ac:dyDescent="0.25">
      <c r="A31" s="1" t="s">
        <v>42</v>
      </c>
      <c r="B31" s="1" t="s">
        <v>68</v>
      </c>
      <c r="C31">
        <v>63.447559185207332</v>
      </c>
      <c r="D31">
        <v>253</v>
      </c>
      <c r="E31">
        <v>8318.9031946171781</v>
      </c>
      <c r="F31">
        <v>45</v>
      </c>
      <c r="G31" s="1" t="s">
        <v>18</v>
      </c>
      <c r="H31">
        <v>8.1009731453970311</v>
      </c>
      <c r="I31" s="1" t="s">
        <v>27</v>
      </c>
      <c r="J31" s="1" t="s">
        <v>32</v>
      </c>
      <c r="K31">
        <v>16</v>
      </c>
      <c r="L31">
        <v>39.292875586065747</v>
      </c>
      <c r="M31" s="1" t="s">
        <v>49</v>
      </c>
      <c r="N31">
        <v>3.8780989365884881</v>
      </c>
      <c r="O31" s="1" t="s">
        <v>22</v>
      </c>
      <c r="P31">
        <v>764.93537594070813</v>
      </c>
    </row>
    <row r="32" spans="1:16" x14ac:dyDescent="0.25">
      <c r="A32" s="1" t="s">
        <v>16</v>
      </c>
      <c r="B32" s="1" t="s">
        <v>69</v>
      </c>
      <c r="C32">
        <v>8.0228592105263932</v>
      </c>
      <c r="D32">
        <v>327</v>
      </c>
      <c r="E32">
        <v>2766.3423668660889</v>
      </c>
      <c r="F32">
        <v>60</v>
      </c>
      <c r="G32" s="1" t="s">
        <v>18</v>
      </c>
      <c r="H32">
        <v>8.9545283153180151</v>
      </c>
      <c r="I32" s="1" t="s">
        <v>38</v>
      </c>
      <c r="J32" s="1" t="s">
        <v>32</v>
      </c>
      <c r="K32">
        <v>27</v>
      </c>
      <c r="L32">
        <v>51.634893400109334</v>
      </c>
      <c r="M32" s="1" t="s">
        <v>21</v>
      </c>
      <c r="N32">
        <v>0.96539470535239313</v>
      </c>
      <c r="O32" s="1" t="s">
        <v>22</v>
      </c>
      <c r="P32">
        <v>880.08098824716103</v>
      </c>
    </row>
    <row r="33" spans="1:16" x14ac:dyDescent="0.25">
      <c r="A33" s="1" t="s">
        <v>23</v>
      </c>
      <c r="B33" s="1" t="s">
        <v>70</v>
      </c>
      <c r="C33">
        <v>50.847393051718697</v>
      </c>
      <c r="D33">
        <v>168</v>
      </c>
      <c r="E33">
        <v>9655.1351027193978</v>
      </c>
      <c r="F33">
        <v>6</v>
      </c>
      <c r="G33" s="1" t="s">
        <v>18</v>
      </c>
      <c r="H33">
        <v>2.6796609649814065</v>
      </c>
      <c r="I33" s="1" t="s">
        <v>19</v>
      </c>
      <c r="J33" s="1" t="s">
        <v>47</v>
      </c>
      <c r="K33">
        <v>24</v>
      </c>
      <c r="L33">
        <v>60.25114566159808</v>
      </c>
      <c r="M33" s="1" t="s">
        <v>21</v>
      </c>
      <c r="N33">
        <v>2.9890000066550746</v>
      </c>
      <c r="O33" s="1" t="s">
        <v>34</v>
      </c>
      <c r="P33">
        <v>609.37920661842668</v>
      </c>
    </row>
    <row r="34" spans="1:16" x14ac:dyDescent="0.25">
      <c r="A34" s="1" t="s">
        <v>23</v>
      </c>
      <c r="B34" s="1" t="s">
        <v>71</v>
      </c>
      <c r="C34">
        <v>79.209936015656723</v>
      </c>
      <c r="D34">
        <v>781</v>
      </c>
      <c r="E34">
        <v>9571.5504873278187</v>
      </c>
      <c r="F34">
        <v>89</v>
      </c>
      <c r="G34" s="1" t="s">
        <v>30</v>
      </c>
      <c r="H34">
        <v>6.5991049012385838</v>
      </c>
      <c r="I34" s="1" t="s">
        <v>19</v>
      </c>
      <c r="J34" s="1" t="s">
        <v>32</v>
      </c>
      <c r="K34">
        <v>30</v>
      </c>
      <c r="L34">
        <v>29.692467153749774</v>
      </c>
      <c r="M34" s="1" t="s">
        <v>49</v>
      </c>
      <c r="N34">
        <v>1.9460361193861131</v>
      </c>
      <c r="O34" s="1" t="s">
        <v>22</v>
      </c>
      <c r="P34">
        <v>761.17390951487755</v>
      </c>
    </row>
    <row r="35" spans="1:16" x14ac:dyDescent="0.25">
      <c r="A35" s="1" t="s">
        <v>42</v>
      </c>
      <c r="B35" s="1" t="s">
        <v>72</v>
      </c>
      <c r="C35">
        <v>64.795435000155607</v>
      </c>
      <c r="D35">
        <v>616</v>
      </c>
      <c r="E35">
        <v>5149.9983504080365</v>
      </c>
      <c r="F35">
        <v>4</v>
      </c>
      <c r="G35" s="1" t="s">
        <v>30</v>
      </c>
      <c r="H35">
        <v>4.85827050343664</v>
      </c>
      <c r="I35" s="1" t="s">
        <v>31</v>
      </c>
      <c r="J35" s="1" t="s">
        <v>47</v>
      </c>
      <c r="K35">
        <v>1</v>
      </c>
      <c r="L35">
        <v>23.853427512896133</v>
      </c>
      <c r="M35" s="1" t="s">
        <v>33</v>
      </c>
      <c r="N35">
        <v>3.5410460122509231</v>
      </c>
      <c r="O35" s="1" t="s">
        <v>41</v>
      </c>
      <c r="P35">
        <v>371.25529551987103</v>
      </c>
    </row>
    <row r="36" spans="1:16" x14ac:dyDescent="0.25">
      <c r="A36" s="1" t="s">
        <v>23</v>
      </c>
      <c r="B36" s="1" t="s">
        <v>73</v>
      </c>
      <c r="C36">
        <v>37.467592329842461</v>
      </c>
      <c r="D36">
        <v>602</v>
      </c>
      <c r="E36">
        <v>9061.7108955077238</v>
      </c>
      <c r="F36">
        <v>1</v>
      </c>
      <c r="G36" s="1" t="s">
        <v>25</v>
      </c>
      <c r="H36">
        <v>1.0194875708221189</v>
      </c>
      <c r="I36" s="1" t="s">
        <v>27</v>
      </c>
      <c r="J36" s="1" t="s">
        <v>47</v>
      </c>
      <c r="K36">
        <v>4</v>
      </c>
      <c r="L36">
        <v>10.754272815029333</v>
      </c>
      <c r="M36" s="1" t="s">
        <v>49</v>
      </c>
      <c r="N36">
        <v>0.64660455937205485</v>
      </c>
      <c r="O36" s="1" t="s">
        <v>22</v>
      </c>
      <c r="P36">
        <v>510.3580004335235</v>
      </c>
    </row>
    <row r="37" spans="1:16" x14ac:dyDescent="0.25">
      <c r="A37" s="1" t="s">
        <v>42</v>
      </c>
      <c r="B37" s="1" t="s">
        <v>74</v>
      </c>
      <c r="C37">
        <v>84.957786816350435</v>
      </c>
      <c r="D37">
        <v>449</v>
      </c>
      <c r="E37">
        <v>6541.3293448024651</v>
      </c>
      <c r="F37">
        <v>42</v>
      </c>
      <c r="G37" s="1" t="s">
        <v>30</v>
      </c>
      <c r="H37">
        <v>5.2881899903274094</v>
      </c>
      <c r="I37" s="1" t="s">
        <v>27</v>
      </c>
      <c r="J37" s="1" t="s">
        <v>36</v>
      </c>
      <c r="K37">
        <v>3</v>
      </c>
      <c r="L37">
        <v>58.004787044743765</v>
      </c>
      <c r="M37" s="1" t="s">
        <v>49</v>
      </c>
      <c r="N37">
        <v>0.54115409806058112</v>
      </c>
      <c r="O37" s="1" t="s">
        <v>41</v>
      </c>
      <c r="P37">
        <v>553.42047123035582</v>
      </c>
    </row>
    <row r="38" spans="1:16" x14ac:dyDescent="0.25">
      <c r="A38" s="1" t="s">
        <v>23</v>
      </c>
      <c r="B38" s="1" t="s">
        <v>75</v>
      </c>
      <c r="C38">
        <v>9.8130025787540518</v>
      </c>
      <c r="D38">
        <v>963</v>
      </c>
      <c r="E38">
        <v>7573.4024578487333</v>
      </c>
      <c r="F38">
        <v>18</v>
      </c>
      <c r="G38" s="1" t="s">
        <v>18</v>
      </c>
      <c r="H38">
        <v>2.107951267159081</v>
      </c>
      <c r="I38" s="1" t="s">
        <v>46</v>
      </c>
      <c r="J38" s="1" t="s">
        <v>36</v>
      </c>
      <c r="K38">
        <v>26</v>
      </c>
      <c r="L38">
        <v>45.531364237162144</v>
      </c>
      <c r="M38" s="1" t="s">
        <v>33</v>
      </c>
      <c r="N38">
        <v>3.8055333792433537</v>
      </c>
      <c r="O38" s="1" t="s">
        <v>28</v>
      </c>
      <c r="P38">
        <v>403.8089742481805</v>
      </c>
    </row>
    <row r="39" spans="1:16" x14ac:dyDescent="0.25">
      <c r="A39" s="1" t="s">
        <v>23</v>
      </c>
      <c r="B39" s="1" t="s">
        <v>76</v>
      </c>
      <c r="C39">
        <v>23.399844752614349</v>
      </c>
      <c r="D39">
        <v>963</v>
      </c>
      <c r="E39">
        <v>2438.3399304700288</v>
      </c>
      <c r="F39">
        <v>25</v>
      </c>
      <c r="G39" s="1" t="s">
        <v>25</v>
      </c>
      <c r="H39">
        <v>1.5326552735904306</v>
      </c>
      <c r="I39" s="1" t="s">
        <v>19</v>
      </c>
      <c r="J39" s="1" t="s">
        <v>32</v>
      </c>
      <c r="K39">
        <v>24</v>
      </c>
      <c r="L39">
        <v>34.343277465075381</v>
      </c>
      <c r="M39" s="1" t="s">
        <v>21</v>
      </c>
      <c r="N39">
        <v>2.6102880848481131</v>
      </c>
      <c r="O39" s="1" t="s">
        <v>41</v>
      </c>
      <c r="P39">
        <v>183.93296804359437</v>
      </c>
    </row>
    <row r="40" spans="1:16" x14ac:dyDescent="0.25">
      <c r="A40" s="1" t="s">
        <v>42</v>
      </c>
      <c r="B40" s="1" t="s">
        <v>77</v>
      </c>
      <c r="C40">
        <v>52.075930682707799</v>
      </c>
      <c r="D40">
        <v>705</v>
      </c>
      <c r="E40">
        <v>9692.3180402184316</v>
      </c>
      <c r="F40">
        <v>69</v>
      </c>
      <c r="G40" s="1" t="s">
        <v>18</v>
      </c>
      <c r="H40">
        <v>9.2359314372492278</v>
      </c>
      <c r="I40" s="1" t="s">
        <v>31</v>
      </c>
      <c r="J40" s="1" t="s">
        <v>20</v>
      </c>
      <c r="K40">
        <v>10</v>
      </c>
      <c r="L40">
        <v>5.9306936455283177</v>
      </c>
      <c r="M40" s="1" t="s">
        <v>21</v>
      </c>
      <c r="N40">
        <v>0.61332689916450744</v>
      </c>
      <c r="O40" s="1" t="s">
        <v>28</v>
      </c>
      <c r="P40">
        <v>339.67286994860615</v>
      </c>
    </row>
    <row r="41" spans="1:16" x14ac:dyDescent="0.25">
      <c r="A41" s="1" t="s">
        <v>23</v>
      </c>
      <c r="B41" s="1" t="s">
        <v>78</v>
      </c>
      <c r="C41">
        <v>19.127477265823256</v>
      </c>
      <c r="D41">
        <v>176</v>
      </c>
      <c r="E41">
        <v>1912.4656631007608</v>
      </c>
      <c r="F41">
        <v>78</v>
      </c>
      <c r="G41" s="1" t="s">
        <v>25</v>
      </c>
      <c r="H41">
        <v>5.5625037788303837</v>
      </c>
      <c r="I41" s="1" t="s">
        <v>46</v>
      </c>
      <c r="J41" s="1" t="s">
        <v>32</v>
      </c>
      <c r="K41">
        <v>30</v>
      </c>
      <c r="L41">
        <v>9.0058074287816421</v>
      </c>
      <c r="M41" s="1" t="s">
        <v>33</v>
      </c>
      <c r="N41">
        <v>1.4519722039968159</v>
      </c>
      <c r="O41" s="1" t="s">
        <v>28</v>
      </c>
      <c r="P41">
        <v>653.67299455203317</v>
      </c>
    </row>
    <row r="42" spans="1:16" x14ac:dyDescent="0.25">
      <c r="A42" s="1" t="s">
        <v>23</v>
      </c>
      <c r="B42" s="1" t="s">
        <v>79</v>
      </c>
      <c r="C42">
        <v>80.541424170940331</v>
      </c>
      <c r="D42">
        <v>933</v>
      </c>
      <c r="E42">
        <v>5724.9593504562654</v>
      </c>
      <c r="F42">
        <v>90</v>
      </c>
      <c r="G42" s="1" t="s">
        <v>30</v>
      </c>
      <c r="H42">
        <v>7.2295951397364737</v>
      </c>
      <c r="I42" s="1" t="s">
        <v>27</v>
      </c>
      <c r="J42" s="1" t="s">
        <v>32</v>
      </c>
      <c r="K42">
        <v>18</v>
      </c>
      <c r="L42">
        <v>88.179407104217461</v>
      </c>
      <c r="M42" s="1" t="s">
        <v>21</v>
      </c>
      <c r="N42">
        <v>4.2132694305865659</v>
      </c>
      <c r="O42" s="1" t="s">
        <v>22</v>
      </c>
      <c r="P42">
        <v>529.80872398069187</v>
      </c>
    </row>
    <row r="43" spans="1:16" x14ac:dyDescent="0.25">
      <c r="A43" s="1" t="s">
        <v>23</v>
      </c>
      <c r="B43" s="1" t="s">
        <v>80</v>
      </c>
      <c r="C43">
        <v>99.113291615317166</v>
      </c>
      <c r="D43">
        <v>556</v>
      </c>
      <c r="E43">
        <v>5521.2052590109715</v>
      </c>
      <c r="F43">
        <v>64</v>
      </c>
      <c r="G43" s="1" t="s">
        <v>18</v>
      </c>
      <c r="H43">
        <v>5.7732637437666536</v>
      </c>
      <c r="I43" s="1" t="s">
        <v>38</v>
      </c>
      <c r="J43" s="1" t="s">
        <v>47</v>
      </c>
      <c r="K43">
        <v>18</v>
      </c>
      <c r="L43">
        <v>95.332064548772493</v>
      </c>
      <c r="M43" s="1" t="s">
        <v>33</v>
      </c>
      <c r="N43">
        <v>4.530226239825963E-2</v>
      </c>
      <c r="O43" s="1" t="s">
        <v>41</v>
      </c>
      <c r="P43">
        <v>275.52437113130981</v>
      </c>
    </row>
    <row r="44" spans="1:16" x14ac:dyDescent="0.25">
      <c r="A44" s="1" t="s">
        <v>23</v>
      </c>
      <c r="B44" s="1" t="s">
        <v>81</v>
      </c>
      <c r="C44">
        <v>46.529167614516773</v>
      </c>
      <c r="D44">
        <v>155</v>
      </c>
      <c r="E44">
        <v>1839.6094258567639</v>
      </c>
      <c r="F44">
        <v>22</v>
      </c>
      <c r="G44" s="1" t="s">
        <v>30</v>
      </c>
      <c r="H44">
        <v>7.5262483268515084</v>
      </c>
      <c r="I44" s="1" t="s">
        <v>31</v>
      </c>
      <c r="J44" s="1" t="s">
        <v>39</v>
      </c>
      <c r="K44">
        <v>26</v>
      </c>
      <c r="L44">
        <v>96.422820639571867</v>
      </c>
      <c r="M44" s="1" t="s">
        <v>33</v>
      </c>
      <c r="N44">
        <v>4.9392552886209478</v>
      </c>
      <c r="O44" s="1" t="s">
        <v>22</v>
      </c>
      <c r="P44">
        <v>635.65712050199193</v>
      </c>
    </row>
    <row r="45" spans="1:16" x14ac:dyDescent="0.25">
      <c r="A45" s="1" t="s">
        <v>16</v>
      </c>
      <c r="B45" s="1" t="s">
        <v>82</v>
      </c>
      <c r="C45">
        <v>11.743271776309239</v>
      </c>
      <c r="D45">
        <v>598</v>
      </c>
      <c r="E45">
        <v>5737.425599119023</v>
      </c>
      <c r="F45">
        <v>36</v>
      </c>
      <c r="G45" s="1" t="s">
        <v>18</v>
      </c>
      <c r="H45">
        <v>3.6940212683884543</v>
      </c>
      <c r="I45" s="1" t="s">
        <v>31</v>
      </c>
      <c r="J45" s="1" t="s">
        <v>20</v>
      </c>
      <c r="K45">
        <v>1</v>
      </c>
      <c r="L45">
        <v>26.27736595733241</v>
      </c>
      <c r="M45" s="1" t="s">
        <v>21</v>
      </c>
      <c r="N45">
        <v>0.37230476798509771</v>
      </c>
      <c r="O45" s="1" t="s">
        <v>28</v>
      </c>
      <c r="P45">
        <v>716.04411975934067</v>
      </c>
    </row>
    <row r="46" spans="1:16" x14ac:dyDescent="0.25">
      <c r="A46" s="1" t="s">
        <v>42</v>
      </c>
      <c r="B46" s="1" t="s">
        <v>83</v>
      </c>
      <c r="C46">
        <v>51.35579091311039</v>
      </c>
      <c r="D46">
        <v>919</v>
      </c>
      <c r="E46">
        <v>7152.2860494355145</v>
      </c>
      <c r="F46">
        <v>13</v>
      </c>
      <c r="G46" s="1" t="s">
        <v>30</v>
      </c>
      <c r="H46">
        <v>7.5774496573766932</v>
      </c>
      <c r="I46" s="1" t="s">
        <v>46</v>
      </c>
      <c r="J46" s="1" t="s">
        <v>36</v>
      </c>
      <c r="K46">
        <v>7</v>
      </c>
      <c r="L46">
        <v>22.554106620887744</v>
      </c>
      <c r="M46" s="1" t="s">
        <v>33</v>
      </c>
      <c r="N46">
        <v>2.9626263204548819</v>
      </c>
      <c r="O46" s="1" t="s">
        <v>34</v>
      </c>
      <c r="P46">
        <v>610.45326961922774</v>
      </c>
    </row>
    <row r="47" spans="1:16" x14ac:dyDescent="0.25">
      <c r="A47" s="1" t="s">
        <v>16</v>
      </c>
      <c r="B47" s="1" t="s">
        <v>84</v>
      </c>
      <c r="C47">
        <v>33.78413803306551</v>
      </c>
      <c r="D47">
        <v>24</v>
      </c>
      <c r="E47">
        <v>5267.9568075105208</v>
      </c>
      <c r="F47">
        <v>93</v>
      </c>
      <c r="G47" s="1" t="s">
        <v>18</v>
      </c>
      <c r="H47">
        <v>5.2151550087119096</v>
      </c>
      <c r="I47" s="1" t="s">
        <v>46</v>
      </c>
      <c r="J47" s="1" t="s">
        <v>47</v>
      </c>
      <c r="K47">
        <v>25</v>
      </c>
      <c r="L47">
        <v>66.312544439991655</v>
      </c>
      <c r="M47" s="1" t="s">
        <v>49</v>
      </c>
      <c r="N47">
        <v>3.219604612084106</v>
      </c>
      <c r="O47" s="1" t="s">
        <v>34</v>
      </c>
      <c r="P47">
        <v>495.30569702847396</v>
      </c>
    </row>
    <row r="48" spans="1:16" x14ac:dyDescent="0.25">
      <c r="A48" s="1" t="s">
        <v>16</v>
      </c>
      <c r="B48" s="1" t="s">
        <v>85</v>
      </c>
      <c r="C48">
        <v>27.082207199888899</v>
      </c>
      <c r="D48">
        <v>859</v>
      </c>
      <c r="E48">
        <v>2556.7673606335957</v>
      </c>
      <c r="F48">
        <v>92</v>
      </c>
      <c r="G48" s="1" t="s">
        <v>18</v>
      </c>
      <c r="H48">
        <v>4.0709558370840826</v>
      </c>
      <c r="I48" s="1" t="s">
        <v>19</v>
      </c>
      <c r="J48" s="1" t="s">
        <v>47</v>
      </c>
      <c r="K48">
        <v>18</v>
      </c>
      <c r="L48">
        <v>77.32235321105162</v>
      </c>
      <c r="M48" s="1" t="s">
        <v>21</v>
      </c>
      <c r="N48">
        <v>3.6486105925362033</v>
      </c>
      <c r="O48" s="1" t="s">
        <v>22</v>
      </c>
      <c r="P48">
        <v>380.43593711196428</v>
      </c>
    </row>
    <row r="49" spans="1:16" x14ac:dyDescent="0.25">
      <c r="A49" s="1" t="s">
        <v>23</v>
      </c>
      <c r="B49" s="1" t="s">
        <v>86</v>
      </c>
      <c r="C49">
        <v>95.712135880936088</v>
      </c>
      <c r="D49">
        <v>910</v>
      </c>
      <c r="E49">
        <v>7089.4742499341864</v>
      </c>
      <c r="F49">
        <v>4</v>
      </c>
      <c r="G49" s="1" t="s">
        <v>18</v>
      </c>
      <c r="H49">
        <v>8.9787507559499709</v>
      </c>
      <c r="I49" s="1" t="s">
        <v>27</v>
      </c>
      <c r="J49" s="1" t="s">
        <v>32</v>
      </c>
      <c r="K49">
        <v>10</v>
      </c>
      <c r="L49">
        <v>19.712992911293647</v>
      </c>
      <c r="M49" s="1" t="s">
        <v>21</v>
      </c>
      <c r="N49">
        <v>0.38057358671321373</v>
      </c>
      <c r="O49" s="1" t="s">
        <v>34</v>
      </c>
      <c r="P49">
        <v>581.60235505058677</v>
      </c>
    </row>
    <row r="50" spans="1:16" x14ac:dyDescent="0.25">
      <c r="A50" s="1" t="s">
        <v>16</v>
      </c>
      <c r="B50" s="1" t="s">
        <v>87</v>
      </c>
      <c r="C50">
        <v>76.035544426891718</v>
      </c>
      <c r="D50">
        <v>29</v>
      </c>
      <c r="E50">
        <v>7397.0710045871801</v>
      </c>
      <c r="F50">
        <v>30</v>
      </c>
      <c r="G50" s="1" t="s">
        <v>30</v>
      </c>
      <c r="H50">
        <v>7.0958331565551385</v>
      </c>
      <c r="I50" s="1" t="s">
        <v>46</v>
      </c>
      <c r="J50" s="1" t="s">
        <v>20</v>
      </c>
      <c r="K50">
        <v>9</v>
      </c>
      <c r="L50">
        <v>23.126363582464776</v>
      </c>
      <c r="M50" s="1" t="s">
        <v>33</v>
      </c>
      <c r="N50">
        <v>1.6981125407144038</v>
      </c>
      <c r="O50" s="1" t="s">
        <v>34</v>
      </c>
      <c r="P50">
        <v>768.65191395437</v>
      </c>
    </row>
    <row r="51" spans="1:16" x14ac:dyDescent="0.25">
      <c r="A51" s="1" t="s">
        <v>42</v>
      </c>
      <c r="B51" s="1" t="s">
        <v>88</v>
      </c>
      <c r="C51">
        <v>78.897913205640037</v>
      </c>
      <c r="D51">
        <v>99</v>
      </c>
      <c r="E51">
        <v>8001.6132065190022</v>
      </c>
      <c r="F51">
        <v>97</v>
      </c>
      <c r="G51" s="1" t="s">
        <v>30</v>
      </c>
      <c r="H51">
        <v>2.5056210329009154</v>
      </c>
      <c r="I51" s="1" t="s">
        <v>31</v>
      </c>
      <c r="J51" s="1" t="s">
        <v>36</v>
      </c>
      <c r="K51">
        <v>28</v>
      </c>
      <c r="L51">
        <v>14.147815443979217</v>
      </c>
      <c r="M51" s="1" t="s">
        <v>49</v>
      </c>
      <c r="N51">
        <v>2.8258139854001318</v>
      </c>
      <c r="O51" s="1" t="s">
        <v>34</v>
      </c>
      <c r="P51">
        <v>336.89016851997792</v>
      </c>
    </row>
    <row r="52" spans="1:16" x14ac:dyDescent="0.25">
      <c r="A52" s="1" t="s">
        <v>42</v>
      </c>
      <c r="B52" s="1" t="s">
        <v>89</v>
      </c>
      <c r="C52">
        <v>14.203484264803022</v>
      </c>
      <c r="D52">
        <v>633</v>
      </c>
      <c r="E52">
        <v>5910.8853896688988</v>
      </c>
      <c r="F52">
        <v>31</v>
      </c>
      <c r="G52" s="1" t="s">
        <v>25</v>
      </c>
      <c r="H52">
        <v>6.2478609149759912</v>
      </c>
      <c r="I52" s="1" t="s">
        <v>46</v>
      </c>
      <c r="J52" s="1" t="s">
        <v>36</v>
      </c>
      <c r="K52">
        <v>20</v>
      </c>
      <c r="L52">
        <v>45.178757924634517</v>
      </c>
      <c r="M52" s="1" t="s">
        <v>33</v>
      </c>
      <c r="N52">
        <v>4.7548008046711852</v>
      </c>
      <c r="O52" s="1" t="s">
        <v>34</v>
      </c>
      <c r="P52">
        <v>496.24865029194046</v>
      </c>
    </row>
    <row r="53" spans="1:16" x14ac:dyDescent="0.25">
      <c r="A53" s="1" t="s">
        <v>16</v>
      </c>
      <c r="B53" s="1" t="s">
        <v>90</v>
      </c>
      <c r="C53">
        <v>26.70076097246173</v>
      </c>
      <c r="D53">
        <v>154</v>
      </c>
      <c r="E53">
        <v>9866.465457979697</v>
      </c>
      <c r="F53">
        <v>100</v>
      </c>
      <c r="G53" s="1" t="s">
        <v>25</v>
      </c>
      <c r="H53">
        <v>4.7830005579476653</v>
      </c>
      <c r="I53" s="1" t="s">
        <v>31</v>
      </c>
      <c r="J53" s="1" t="s">
        <v>39</v>
      </c>
      <c r="K53">
        <v>18</v>
      </c>
      <c r="L53">
        <v>14.190328344569981</v>
      </c>
      <c r="M53" s="1" t="s">
        <v>21</v>
      </c>
      <c r="N53">
        <v>1.7729511720835571</v>
      </c>
      <c r="O53" s="1" t="s">
        <v>22</v>
      </c>
      <c r="P53">
        <v>694.98231757944586</v>
      </c>
    </row>
    <row r="54" spans="1:16" x14ac:dyDescent="0.25">
      <c r="A54" s="1" t="s">
        <v>23</v>
      </c>
      <c r="B54" s="1" t="s">
        <v>91</v>
      </c>
      <c r="C54">
        <v>98.031829656465078</v>
      </c>
      <c r="D54">
        <v>820</v>
      </c>
      <c r="E54">
        <v>9435.7626089121295</v>
      </c>
      <c r="F54">
        <v>64</v>
      </c>
      <c r="G54" s="1" t="s">
        <v>18</v>
      </c>
      <c r="H54">
        <v>8.6310521797689468</v>
      </c>
      <c r="I54" s="1" t="s">
        <v>27</v>
      </c>
      <c r="J54" s="1" t="s">
        <v>20</v>
      </c>
      <c r="K54">
        <v>10</v>
      </c>
      <c r="L54">
        <v>9.1668491485971515</v>
      </c>
      <c r="M54" s="1" t="s">
        <v>21</v>
      </c>
      <c r="N54">
        <v>2.1224716191438247</v>
      </c>
      <c r="O54" s="1" t="s">
        <v>28</v>
      </c>
      <c r="P54">
        <v>602.89849883838338</v>
      </c>
    </row>
    <row r="55" spans="1:16" x14ac:dyDescent="0.25">
      <c r="A55" s="1" t="s">
        <v>23</v>
      </c>
      <c r="B55" s="1" t="s">
        <v>92</v>
      </c>
      <c r="C55">
        <v>30.341470711214214</v>
      </c>
      <c r="D55">
        <v>242</v>
      </c>
      <c r="E55">
        <v>8232.3348294258212</v>
      </c>
      <c r="F55">
        <v>96</v>
      </c>
      <c r="G55" s="1" t="s">
        <v>18</v>
      </c>
      <c r="H55">
        <v>1.0134865660958963</v>
      </c>
      <c r="I55" s="1" t="s">
        <v>27</v>
      </c>
      <c r="J55" s="1" t="s">
        <v>36</v>
      </c>
      <c r="K55">
        <v>1</v>
      </c>
      <c r="L55">
        <v>83.344058991677969</v>
      </c>
      <c r="M55" s="1" t="s">
        <v>21</v>
      </c>
      <c r="N55">
        <v>1.4103475760760271</v>
      </c>
      <c r="O55" s="1" t="s">
        <v>28</v>
      </c>
      <c r="P55">
        <v>750.73784066827091</v>
      </c>
    </row>
    <row r="56" spans="1:16" x14ac:dyDescent="0.25">
      <c r="A56" s="1" t="s">
        <v>16</v>
      </c>
      <c r="B56" s="1" t="s">
        <v>93</v>
      </c>
      <c r="C56">
        <v>31.146243160240854</v>
      </c>
      <c r="D56">
        <v>622</v>
      </c>
      <c r="E56">
        <v>6088.0214799408586</v>
      </c>
      <c r="F56">
        <v>33</v>
      </c>
      <c r="G56" s="1" t="s">
        <v>18</v>
      </c>
      <c r="H56">
        <v>4.3051034712876355</v>
      </c>
      <c r="I56" s="1" t="s">
        <v>27</v>
      </c>
      <c r="J56" s="1" t="s">
        <v>32</v>
      </c>
      <c r="K56">
        <v>26</v>
      </c>
      <c r="L56">
        <v>30.186023375822508</v>
      </c>
      <c r="M56" s="1" t="s">
        <v>49</v>
      </c>
      <c r="N56">
        <v>2.4787719755397477</v>
      </c>
      <c r="O56" s="1" t="s">
        <v>22</v>
      </c>
      <c r="P56">
        <v>814.06999658218751</v>
      </c>
    </row>
    <row r="57" spans="1:16" x14ac:dyDescent="0.25">
      <c r="A57" s="1" t="s">
        <v>16</v>
      </c>
      <c r="B57" s="1" t="s">
        <v>94</v>
      </c>
      <c r="C57">
        <v>79.855058340789427</v>
      </c>
      <c r="D57">
        <v>701</v>
      </c>
      <c r="E57">
        <v>2925.6751703038126</v>
      </c>
      <c r="F57">
        <v>97</v>
      </c>
      <c r="G57" s="1" t="s">
        <v>25</v>
      </c>
      <c r="H57">
        <v>5.0143649550309073</v>
      </c>
      <c r="I57" s="1" t="s">
        <v>46</v>
      </c>
      <c r="J57" s="1" t="s">
        <v>36</v>
      </c>
      <c r="K57">
        <v>27</v>
      </c>
      <c r="L57">
        <v>30.323545256616502</v>
      </c>
      <c r="M57" s="1" t="s">
        <v>33</v>
      </c>
      <c r="N57">
        <v>4.5489196593963852</v>
      </c>
      <c r="O57" s="1" t="s">
        <v>41</v>
      </c>
      <c r="P57">
        <v>323.01292795247883</v>
      </c>
    </row>
    <row r="58" spans="1:16" x14ac:dyDescent="0.25">
      <c r="A58" s="1" t="s">
        <v>23</v>
      </c>
      <c r="B58" s="1" t="s">
        <v>95</v>
      </c>
      <c r="C58">
        <v>20.986386037043378</v>
      </c>
      <c r="D58">
        <v>93</v>
      </c>
      <c r="E58">
        <v>4767.020484344137</v>
      </c>
      <c r="F58">
        <v>25</v>
      </c>
      <c r="G58" s="1" t="s">
        <v>30</v>
      </c>
      <c r="H58">
        <v>1.7744297140717396</v>
      </c>
      <c r="I58" s="1" t="s">
        <v>27</v>
      </c>
      <c r="J58" s="1" t="s">
        <v>20</v>
      </c>
      <c r="K58">
        <v>24</v>
      </c>
      <c r="L58">
        <v>12.836284572832753</v>
      </c>
      <c r="M58" s="1" t="s">
        <v>49</v>
      </c>
      <c r="N58">
        <v>1.1737554953874541</v>
      </c>
      <c r="O58" s="1" t="s">
        <v>28</v>
      </c>
      <c r="P58">
        <v>832.21080870602168</v>
      </c>
    </row>
    <row r="59" spans="1:16" x14ac:dyDescent="0.25">
      <c r="A59" s="1" t="s">
        <v>16</v>
      </c>
      <c r="B59" s="1" t="s">
        <v>96</v>
      </c>
      <c r="C59">
        <v>49.263205350734154</v>
      </c>
      <c r="D59">
        <v>227</v>
      </c>
      <c r="E59">
        <v>1605.8669003924058</v>
      </c>
      <c r="F59">
        <v>5</v>
      </c>
      <c r="G59" s="1" t="s">
        <v>18</v>
      </c>
      <c r="H59">
        <v>9.1605585353818704</v>
      </c>
      <c r="I59" s="1" t="s">
        <v>46</v>
      </c>
      <c r="J59" s="1" t="s">
        <v>36</v>
      </c>
      <c r="K59">
        <v>21</v>
      </c>
      <c r="L59">
        <v>67.779622987078142</v>
      </c>
      <c r="M59" s="1" t="s">
        <v>21</v>
      </c>
      <c r="N59">
        <v>2.511174830212707</v>
      </c>
      <c r="O59" s="1" t="s">
        <v>34</v>
      </c>
      <c r="P59">
        <v>482.19123860252813</v>
      </c>
    </row>
    <row r="60" spans="1:16" x14ac:dyDescent="0.25">
      <c r="A60" s="1" t="s">
        <v>23</v>
      </c>
      <c r="B60" s="1" t="s">
        <v>97</v>
      </c>
      <c r="C60">
        <v>59.84156137728931</v>
      </c>
      <c r="D60">
        <v>896</v>
      </c>
      <c r="E60">
        <v>2021.1498103371077</v>
      </c>
      <c r="F60">
        <v>10</v>
      </c>
      <c r="G60" s="1" t="s">
        <v>25</v>
      </c>
      <c r="H60">
        <v>4.9384385647120901</v>
      </c>
      <c r="I60" s="1" t="s">
        <v>19</v>
      </c>
      <c r="J60" s="1" t="s">
        <v>36</v>
      </c>
      <c r="K60">
        <v>18</v>
      </c>
      <c r="L60">
        <v>65.047415094691459</v>
      </c>
      <c r="M60" s="1" t="s">
        <v>33</v>
      </c>
      <c r="N60">
        <v>1.7303747198591968</v>
      </c>
      <c r="O60" s="1" t="s">
        <v>22</v>
      </c>
      <c r="P60">
        <v>110.36433523136472</v>
      </c>
    </row>
    <row r="61" spans="1:16" x14ac:dyDescent="0.25">
      <c r="A61" s="1" t="s">
        <v>42</v>
      </c>
      <c r="B61" s="1" t="s">
        <v>98</v>
      </c>
      <c r="C61">
        <v>63.828398347710966</v>
      </c>
      <c r="D61">
        <v>484</v>
      </c>
      <c r="E61">
        <v>1061.618523013288</v>
      </c>
      <c r="F61">
        <v>100</v>
      </c>
      <c r="G61" s="1" t="s">
        <v>18</v>
      </c>
      <c r="H61">
        <v>7.2937225968677284</v>
      </c>
      <c r="I61" s="1" t="s">
        <v>27</v>
      </c>
      <c r="J61" s="1" t="s">
        <v>32</v>
      </c>
      <c r="K61">
        <v>11</v>
      </c>
      <c r="L61">
        <v>1.900762243519458</v>
      </c>
      <c r="M61" s="1" t="s">
        <v>33</v>
      </c>
      <c r="N61">
        <v>0.4471940154638232</v>
      </c>
      <c r="O61" s="1" t="s">
        <v>28</v>
      </c>
      <c r="P61">
        <v>312.57427361009331</v>
      </c>
    </row>
    <row r="62" spans="1:16" x14ac:dyDescent="0.25">
      <c r="A62" s="1" t="s">
        <v>23</v>
      </c>
      <c r="B62" s="1" t="s">
        <v>99</v>
      </c>
      <c r="C62">
        <v>17.028027920188702</v>
      </c>
      <c r="D62">
        <v>380</v>
      </c>
      <c r="E62">
        <v>8864.0843495864356</v>
      </c>
      <c r="F62">
        <v>41</v>
      </c>
      <c r="G62" s="1" t="s">
        <v>30</v>
      </c>
      <c r="H62">
        <v>4.3813681581023145</v>
      </c>
      <c r="I62" s="1" t="s">
        <v>38</v>
      </c>
      <c r="J62" s="1" t="s">
        <v>20</v>
      </c>
      <c r="K62">
        <v>29</v>
      </c>
      <c r="L62">
        <v>87.213057815135684</v>
      </c>
      <c r="M62" s="1" t="s">
        <v>33</v>
      </c>
      <c r="N62">
        <v>2.8530906166490539</v>
      </c>
      <c r="O62" s="1" t="s">
        <v>34</v>
      </c>
      <c r="P62">
        <v>430.16909697513654</v>
      </c>
    </row>
    <row r="63" spans="1:16" x14ac:dyDescent="0.25">
      <c r="A63" s="1" t="s">
        <v>16</v>
      </c>
      <c r="B63" s="1" t="s">
        <v>100</v>
      </c>
      <c r="C63">
        <v>52.028749903294923</v>
      </c>
      <c r="D63">
        <v>117</v>
      </c>
      <c r="E63">
        <v>6885.5893508962527</v>
      </c>
      <c r="F63">
        <v>32</v>
      </c>
      <c r="G63" s="1" t="s">
        <v>30</v>
      </c>
      <c r="H63">
        <v>9.0303404225219488</v>
      </c>
      <c r="I63" s="1" t="s">
        <v>38</v>
      </c>
      <c r="J63" s="1" t="s">
        <v>32</v>
      </c>
      <c r="K63">
        <v>14</v>
      </c>
      <c r="L63">
        <v>78.702393968878894</v>
      </c>
      <c r="M63" s="1" t="s">
        <v>33</v>
      </c>
      <c r="N63">
        <v>4.3674705382050529</v>
      </c>
      <c r="O63" s="1" t="s">
        <v>28</v>
      </c>
      <c r="P63">
        <v>164.36652824341942</v>
      </c>
    </row>
    <row r="64" spans="1:16" x14ac:dyDescent="0.25">
      <c r="A64" s="1" t="s">
        <v>42</v>
      </c>
      <c r="B64" s="1" t="s">
        <v>101</v>
      </c>
      <c r="C64">
        <v>72.796353955587364</v>
      </c>
      <c r="D64">
        <v>270</v>
      </c>
      <c r="E64">
        <v>3899.7468337292244</v>
      </c>
      <c r="F64">
        <v>86</v>
      </c>
      <c r="G64" s="1" t="s">
        <v>30</v>
      </c>
      <c r="H64">
        <v>7.2917013887767759</v>
      </c>
      <c r="I64" s="1" t="s">
        <v>46</v>
      </c>
      <c r="J64" s="1" t="s">
        <v>20</v>
      </c>
      <c r="K64">
        <v>13</v>
      </c>
      <c r="L64">
        <v>21.048642725168644</v>
      </c>
      <c r="M64" s="1" t="s">
        <v>49</v>
      </c>
      <c r="N64">
        <v>1.8740014040443747</v>
      </c>
      <c r="O64" s="1" t="s">
        <v>41</v>
      </c>
      <c r="P64">
        <v>320.84651575911158</v>
      </c>
    </row>
    <row r="65" spans="1:16" x14ac:dyDescent="0.25">
      <c r="A65" s="1" t="s">
        <v>23</v>
      </c>
      <c r="B65" s="1" t="s">
        <v>102</v>
      </c>
      <c r="C65">
        <v>13.017376785287857</v>
      </c>
      <c r="D65">
        <v>246</v>
      </c>
      <c r="E65">
        <v>4256.9491408502254</v>
      </c>
      <c r="F65">
        <v>54</v>
      </c>
      <c r="G65" s="1" t="s">
        <v>25</v>
      </c>
      <c r="H65">
        <v>2.45793352798733</v>
      </c>
      <c r="I65" s="1" t="s">
        <v>19</v>
      </c>
      <c r="J65" s="1" t="s">
        <v>39</v>
      </c>
      <c r="K65">
        <v>18</v>
      </c>
      <c r="L65">
        <v>20.075003975630484</v>
      </c>
      <c r="M65" s="1" t="s">
        <v>21</v>
      </c>
      <c r="N65">
        <v>3.6328432903821337</v>
      </c>
      <c r="O65" s="1" t="s">
        <v>41</v>
      </c>
      <c r="P65">
        <v>687.28617786641735</v>
      </c>
    </row>
    <row r="66" spans="1:16" x14ac:dyDescent="0.25">
      <c r="A66" s="1" t="s">
        <v>23</v>
      </c>
      <c r="B66" s="1" t="s">
        <v>103</v>
      </c>
      <c r="C66">
        <v>89.634095608135326</v>
      </c>
      <c r="D66">
        <v>134</v>
      </c>
      <c r="E66">
        <v>8458.7308783671779</v>
      </c>
      <c r="F66">
        <v>73</v>
      </c>
      <c r="G66" s="1" t="s">
        <v>30</v>
      </c>
      <c r="H66">
        <v>4.5853534681946524</v>
      </c>
      <c r="I66" s="1" t="s">
        <v>27</v>
      </c>
      <c r="J66" s="1" t="s">
        <v>36</v>
      </c>
      <c r="K66">
        <v>17</v>
      </c>
      <c r="L66">
        <v>8.6930424258772874</v>
      </c>
      <c r="M66" s="1" t="s">
        <v>33</v>
      </c>
      <c r="N66">
        <v>0.15948631471751462</v>
      </c>
      <c r="O66" s="1" t="s">
        <v>28</v>
      </c>
      <c r="P66">
        <v>771.22508468115745</v>
      </c>
    </row>
    <row r="67" spans="1:16" x14ac:dyDescent="0.25">
      <c r="A67" s="1" t="s">
        <v>23</v>
      </c>
      <c r="B67" s="1" t="s">
        <v>104</v>
      </c>
      <c r="C67">
        <v>33.697717206643127</v>
      </c>
      <c r="D67">
        <v>457</v>
      </c>
      <c r="E67">
        <v>8354.5796864819949</v>
      </c>
      <c r="F67">
        <v>57</v>
      </c>
      <c r="G67" s="1" t="s">
        <v>30</v>
      </c>
      <c r="H67">
        <v>6.5805413478845951</v>
      </c>
      <c r="I67" s="1" t="s">
        <v>31</v>
      </c>
      <c r="J67" s="1" t="s">
        <v>32</v>
      </c>
      <c r="K67">
        <v>16</v>
      </c>
      <c r="L67">
        <v>1.5972227430506774</v>
      </c>
      <c r="M67" s="1" t="s">
        <v>33</v>
      </c>
      <c r="N67">
        <v>4.911095954842331</v>
      </c>
      <c r="O67" s="1" t="s">
        <v>34</v>
      </c>
      <c r="P67">
        <v>555.85910367174347</v>
      </c>
    </row>
    <row r="68" spans="1:16" x14ac:dyDescent="0.25">
      <c r="A68" s="1" t="s">
        <v>23</v>
      </c>
      <c r="B68" s="1" t="s">
        <v>105</v>
      </c>
      <c r="C68">
        <v>26.034869773962086</v>
      </c>
      <c r="D68">
        <v>704</v>
      </c>
      <c r="E68">
        <v>8367.721618020154</v>
      </c>
      <c r="F68">
        <v>13</v>
      </c>
      <c r="G68" s="1" t="s">
        <v>25</v>
      </c>
      <c r="H68">
        <v>2.2161427287713633</v>
      </c>
      <c r="I68" s="1" t="s">
        <v>31</v>
      </c>
      <c r="J68" s="1" t="s">
        <v>32</v>
      </c>
      <c r="K68">
        <v>24</v>
      </c>
      <c r="L68">
        <v>42.084436738309961</v>
      </c>
      <c r="M68" s="1" t="s">
        <v>33</v>
      </c>
      <c r="N68">
        <v>3.4480632883402618</v>
      </c>
      <c r="O68" s="1" t="s">
        <v>22</v>
      </c>
      <c r="P68">
        <v>393.84334857842788</v>
      </c>
    </row>
    <row r="69" spans="1:16" x14ac:dyDescent="0.25">
      <c r="A69" s="1" t="s">
        <v>23</v>
      </c>
      <c r="B69" s="1" t="s">
        <v>106</v>
      </c>
      <c r="C69">
        <v>87.755432354001073</v>
      </c>
      <c r="D69">
        <v>513</v>
      </c>
      <c r="E69">
        <v>9473.7980325083372</v>
      </c>
      <c r="F69">
        <v>12</v>
      </c>
      <c r="G69" s="1" t="s">
        <v>30</v>
      </c>
      <c r="H69">
        <v>9.147811544710633</v>
      </c>
      <c r="I69" s="1" t="s">
        <v>27</v>
      </c>
      <c r="J69" s="1" t="s">
        <v>20</v>
      </c>
      <c r="K69">
        <v>10</v>
      </c>
      <c r="L69">
        <v>7.0578761469782307</v>
      </c>
      <c r="M69" s="1" t="s">
        <v>49</v>
      </c>
      <c r="N69">
        <v>0.13195544431181483</v>
      </c>
      <c r="O69" s="1" t="s">
        <v>41</v>
      </c>
      <c r="P69">
        <v>169.2718013847869</v>
      </c>
    </row>
    <row r="70" spans="1:16" x14ac:dyDescent="0.25">
      <c r="A70" s="1" t="s">
        <v>16</v>
      </c>
      <c r="B70" s="1" t="s">
        <v>107</v>
      </c>
      <c r="C70">
        <v>37.931812382790319</v>
      </c>
      <c r="D70">
        <v>163</v>
      </c>
      <c r="E70">
        <v>3550.2184327809919</v>
      </c>
      <c r="F70">
        <v>0</v>
      </c>
      <c r="G70" s="1" t="s">
        <v>18</v>
      </c>
      <c r="H70">
        <v>1.1942518648849991</v>
      </c>
      <c r="I70" s="1" t="s">
        <v>46</v>
      </c>
      <c r="J70" s="1" t="s">
        <v>39</v>
      </c>
      <c r="K70">
        <v>2</v>
      </c>
      <c r="L70">
        <v>97.113581563462205</v>
      </c>
      <c r="M70" s="1" t="s">
        <v>33</v>
      </c>
      <c r="N70">
        <v>1.9834678721741801</v>
      </c>
      <c r="O70" s="1" t="s">
        <v>34</v>
      </c>
      <c r="P70">
        <v>299.70630311810316</v>
      </c>
    </row>
    <row r="71" spans="1:16" x14ac:dyDescent="0.25">
      <c r="A71" s="1" t="s">
        <v>23</v>
      </c>
      <c r="B71" s="1" t="s">
        <v>108</v>
      </c>
      <c r="C71">
        <v>54.865528517069791</v>
      </c>
      <c r="D71">
        <v>511</v>
      </c>
      <c r="E71">
        <v>1752.3810874841247</v>
      </c>
      <c r="F71">
        <v>95</v>
      </c>
      <c r="G71" s="1" t="s">
        <v>18</v>
      </c>
      <c r="H71">
        <v>9.7052867901203488</v>
      </c>
      <c r="I71" s="1" t="s">
        <v>38</v>
      </c>
      <c r="J71" s="1" t="s">
        <v>32</v>
      </c>
      <c r="K71">
        <v>9</v>
      </c>
      <c r="L71">
        <v>77.627765812748166</v>
      </c>
      <c r="M71" s="1" t="s">
        <v>21</v>
      </c>
      <c r="N71">
        <v>1.3623879886491086</v>
      </c>
      <c r="O71" s="1" t="s">
        <v>28</v>
      </c>
      <c r="P71">
        <v>207.66320620857562</v>
      </c>
    </row>
    <row r="72" spans="1:16" x14ac:dyDescent="0.25">
      <c r="A72" s="1" t="s">
        <v>16</v>
      </c>
      <c r="B72" s="1" t="s">
        <v>109</v>
      </c>
      <c r="C72">
        <v>47.914541824058766</v>
      </c>
      <c r="D72">
        <v>32</v>
      </c>
      <c r="E72">
        <v>7014.8879872033885</v>
      </c>
      <c r="F72">
        <v>10</v>
      </c>
      <c r="G72" s="1" t="s">
        <v>18</v>
      </c>
      <c r="H72">
        <v>6.3157177546007226</v>
      </c>
      <c r="I72" s="1" t="s">
        <v>27</v>
      </c>
      <c r="J72" s="1" t="s">
        <v>39</v>
      </c>
      <c r="K72">
        <v>22</v>
      </c>
      <c r="L72">
        <v>11.440781823761265</v>
      </c>
      <c r="M72" s="1" t="s">
        <v>49</v>
      </c>
      <c r="N72">
        <v>1.8305755986122314</v>
      </c>
      <c r="O72" s="1" t="s">
        <v>22</v>
      </c>
      <c r="P72">
        <v>183.27289874871101</v>
      </c>
    </row>
    <row r="73" spans="1:16" x14ac:dyDescent="0.25">
      <c r="A73" s="1" t="s">
        <v>42</v>
      </c>
      <c r="B73" s="1" t="s">
        <v>110</v>
      </c>
      <c r="C73">
        <v>6.3815331627479663</v>
      </c>
      <c r="D73">
        <v>637</v>
      </c>
      <c r="E73">
        <v>8180.3370854254426</v>
      </c>
      <c r="F73">
        <v>76</v>
      </c>
      <c r="G73" s="1" t="s">
        <v>25</v>
      </c>
      <c r="H73">
        <v>9.2281903170525172</v>
      </c>
      <c r="I73" s="1" t="s">
        <v>46</v>
      </c>
      <c r="J73" s="1" t="s">
        <v>39</v>
      </c>
      <c r="K73">
        <v>2</v>
      </c>
      <c r="L73">
        <v>30.661677477859556</v>
      </c>
      <c r="M73" s="1" t="s">
        <v>21</v>
      </c>
      <c r="N73">
        <v>2.0787506078749689</v>
      </c>
      <c r="O73" s="1" t="s">
        <v>22</v>
      </c>
      <c r="P73">
        <v>405.16706788885585</v>
      </c>
    </row>
    <row r="74" spans="1:16" x14ac:dyDescent="0.25">
      <c r="A74" s="1" t="s">
        <v>42</v>
      </c>
      <c r="B74" s="1" t="s">
        <v>111</v>
      </c>
      <c r="C74">
        <v>90.204427520528071</v>
      </c>
      <c r="D74">
        <v>478</v>
      </c>
      <c r="E74">
        <v>2633.1219813122557</v>
      </c>
      <c r="F74">
        <v>57</v>
      </c>
      <c r="G74" s="1" t="s">
        <v>25</v>
      </c>
      <c r="H74">
        <v>6.5996141596895441</v>
      </c>
      <c r="I74" s="1" t="s">
        <v>27</v>
      </c>
      <c r="J74" s="1" t="s">
        <v>39</v>
      </c>
      <c r="K74">
        <v>21</v>
      </c>
      <c r="L74">
        <v>55.760492895244212</v>
      </c>
      <c r="M74" s="1" t="s">
        <v>21</v>
      </c>
      <c r="N74">
        <v>3.2133296074383089</v>
      </c>
      <c r="O74" s="1" t="s">
        <v>34</v>
      </c>
      <c r="P74">
        <v>677.9445698461833</v>
      </c>
    </row>
    <row r="75" spans="1:16" x14ac:dyDescent="0.25">
      <c r="A75" s="1" t="s">
        <v>42</v>
      </c>
      <c r="B75" s="1" t="s">
        <v>112</v>
      </c>
      <c r="C75">
        <v>83.851017681304597</v>
      </c>
      <c r="D75">
        <v>375</v>
      </c>
      <c r="E75">
        <v>7910.8869161406856</v>
      </c>
      <c r="F75">
        <v>17</v>
      </c>
      <c r="G75" s="1" t="s">
        <v>18</v>
      </c>
      <c r="H75">
        <v>1.5129368369160772</v>
      </c>
      <c r="I75" s="1" t="s">
        <v>38</v>
      </c>
      <c r="J75" s="1" t="s">
        <v>47</v>
      </c>
      <c r="K75">
        <v>13</v>
      </c>
      <c r="L75">
        <v>46.870238797617155</v>
      </c>
      <c r="M75" s="1" t="s">
        <v>33</v>
      </c>
      <c r="N75">
        <v>4.6205460645137064</v>
      </c>
      <c r="O75" s="1" t="s">
        <v>22</v>
      </c>
      <c r="P75">
        <v>866.4728001296578</v>
      </c>
    </row>
    <row r="76" spans="1:16" x14ac:dyDescent="0.25">
      <c r="A76" s="1" t="s">
        <v>16</v>
      </c>
      <c r="B76" s="1" t="s">
        <v>113</v>
      </c>
      <c r="C76">
        <v>3.1700114135661548</v>
      </c>
      <c r="D76">
        <v>904</v>
      </c>
      <c r="E76">
        <v>5709.9452959692871</v>
      </c>
      <c r="F76">
        <v>41</v>
      </c>
      <c r="G76" s="1" t="s">
        <v>25</v>
      </c>
      <c r="H76">
        <v>5.2376546500374479</v>
      </c>
      <c r="I76" s="1" t="s">
        <v>38</v>
      </c>
      <c r="J76" s="1" t="s">
        <v>36</v>
      </c>
      <c r="K76">
        <v>1</v>
      </c>
      <c r="L76">
        <v>80.580852156447818</v>
      </c>
      <c r="M76" s="1" t="s">
        <v>33</v>
      </c>
      <c r="N76">
        <v>0.39661272410993542</v>
      </c>
      <c r="O76" s="1" t="s">
        <v>34</v>
      </c>
      <c r="P76">
        <v>341.55265678322337</v>
      </c>
    </row>
    <row r="77" spans="1:16" x14ac:dyDescent="0.25">
      <c r="A77" s="1" t="s">
        <v>23</v>
      </c>
      <c r="B77" s="1" t="s">
        <v>114</v>
      </c>
      <c r="C77">
        <v>92.996884233970661</v>
      </c>
      <c r="D77">
        <v>106</v>
      </c>
      <c r="E77">
        <v>1889.073589779335</v>
      </c>
      <c r="F77">
        <v>16</v>
      </c>
      <c r="G77" s="1" t="s">
        <v>30</v>
      </c>
      <c r="H77">
        <v>2.4738977610454609</v>
      </c>
      <c r="I77" s="1" t="s">
        <v>27</v>
      </c>
      <c r="J77" s="1" t="s">
        <v>47</v>
      </c>
      <c r="K77">
        <v>25</v>
      </c>
      <c r="L77">
        <v>48.064782640006591</v>
      </c>
      <c r="M77" s="1" t="s">
        <v>49</v>
      </c>
      <c r="N77">
        <v>2.0300690886687516</v>
      </c>
      <c r="O77" s="1" t="s">
        <v>28</v>
      </c>
      <c r="P77">
        <v>873.12964801765145</v>
      </c>
    </row>
    <row r="78" spans="1:16" x14ac:dyDescent="0.25">
      <c r="A78" s="1" t="s">
        <v>16</v>
      </c>
      <c r="B78" s="1" t="s">
        <v>115</v>
      </c>
      <c r="C78">
        <v>69.108799547430323</v>
      </c>
      <c r="D78">
        <v>241</v>
      </c>
      <c r="E78">
        <v>5328.3759842977579</v>
      </c>
      <c r="F78">
        <v>38</v>
      </c>
      <c r="G78" s="1" t="s">
        <v>25</v>
      </c>
      <c r="H78">
        <v>7.0545383368369263</v>
      </c>
      <c r="I78" s="1" t="s">
        <v>46</v>
      </c>
      <c r="J78" s="1" t="s">
        <v>39</v>
      </c>
      <c r="K78">
        <v>25</v>
      </c>
      <c r="L78">
        <v>64.323597795600222</v>
      </c>
      <c r="M78" s="1" t="s">
        <v>21</v>
      </c>
      <c r="N78">
        <v>2.1800374515822165</v>
      </c>
      <c r="O78" s="1" t="s">
        <v>34</v>
      </c>
      <c r="P78">
        <v>997.4134501331946</v>
      </c>
    </row>
    <row r="79" spans="1:16" x14ac:dyDescent="0.25">
      <c r="A79" s="1" t="s">
        <v>16</v>
      </c>
      <c r="B79" s="1" t="s">
        <v>116</v>
      </c>
      <c r="C79">
        <v>57.449742958971477</v>
      </c>
      <c r="D79">
        <v>359</v>
      </c>
      <c r="E79">
        <v>2483.7601775427947</v>
      </c>
      <c r="F79">
        <v>96</v>
      </c>
      <c r="G79" s="1" t="s">
        <v>18</v>
      </c>
      <c r="H79">
        <v>6.7809466256178954</v>
      </c>
      <c r="I79" s="1" t="s">
        <v>27</v>
      </c>
      <c r="J79" s="1" t="s">
        <v>32</v>
      </c>
      <c r="K79">
        <v>26</v>
      </c>
      <c r="L79">
        <v>42.952444748991837</v>
      </c>
      <c r="M79" s="1" t="s">
        <v>49</v>
      </c>
      <c r="N79">
        <v>3.0551418183075478</v>
      </c>
      <c r="O79" s="1" t="s">
        <v>22</v>
      </c>
      <c r="P79">
        <v>852.56809891984994</v>
      </c>
    </row>
    <row r="80" spans="1:16" x14ac:dyDescent="0.25">
      <c r="A80" s="1" t="s">
        <v>16</v>
      </c>
      <c r="B80" s="1" t="s">
        <v>117</v>
      </c>
      <c r="C80">
        <v>6.3068831761119153</v>
      </c>
      <c r="D80">
        <v>946</v>
      </c>
      <c r="E80">
        <v>1292.4584179377562</v>
      </c>
      <c r="F80">
        <v>5</v>
      </c>
      <c r="G80" s="1" t="s">
        <v>18</v>
      </c>
      <c r="H80">
        <v>8.4670497708619905</v>
      </c>
      <c r="I80" s="1" t="s">
        <v>31</v>
      </c>
      <c r="J80" s="1" t="s">
        <v>20</v>
      </c>
      <c r="K80">
        <v>25</v>
      </c>
      <c r="L80">
        <v>71.126514720403378</v>
      </c>
      <c r="M80" s="1" t="s">
        <v>21</v>
      </c>
      <c r="N80">
        <v>4.0968813324704518</v>
      </c>
      <c r="O80" s="1" t="s">
        <v>41</v>
      </c>
      <c r="P80">
        <v>323.59220343132216</v>
      </c>
    </row>
    <row r="81" spans="1:16" x14ac:dyDescent="0.25">
      <c r="A81" s="1" t="s">
        <v>16</v>
      </c>
      <c r="B81" s="1" t="s">
        <v>118</v>
      </c>
      <c r="C81">
        <v>57.057031221103223</v>
      </c>
      <c r="D81">
        <v>198</v>
      </c>
      <c r="E81">
        <v>7888.7232684270812</v>
      </c>
      <c r="F81">
        <v>31</v>
      </c>
      <c r="G81" s="1" t="s">
        <v>18</v>
      </c>
      <c r="H81">
        <v>6.4963253642950445</v>
      </c>
      <c r="I81" s="1" t="s">
        <v>19</v>
      </c>
      <c r="J81" s="1" t="s">
        <v>39</v>
      </c>
      <c r="K81">
        <v>5</v>
      </c>
      <c r="L81">
        <v>57.87090292403628</v>
      </c>
      <c r="M81" s="1" t="s">
        <v>21</v>
      </c>
      <c r="N81">
        <v>0.16587162748060824</v>
      </c>
      <c r="O81" s="1" t="s">
        <v>28</v>
      </c>
      <c r="P81">
        <v>351.50421933503867</v>
      </c>
    </row>
    <row r="82" spans="1:16" x14ac:dyDescent="0.25">
      <c r="A82" s="1" t="s">
        <v>23</v>
      </c>
      <c r="B82" s="1" t="s">
        <v>119</v>
      </c>
      <c r="C82">
        <v>91.128318350444331</v>
      </c>
      <c r="D82">
        <v>872</v>
      </c>
      <c r="E82">
        <v>8651.6726829820655</v>
      </c>
      <c r="F82">
        <v>39</v>
      </c>
      <c r="G82" s="1" t="s">
        <v>30</v>
      </c>
      <c r="H82">
        <v>2.8331846794189746</v>
      </c>
      <c r="I82" s="1" t="s">
        <v>19</v>
      </c>
      <c r="J82" s="1" t="s">
        <v>47</v>
      </c>
      <c r="K82">
        <v>8</v>
      </c>
      <c r="L82">
        <v>76.961228023820013</v>
      </c>
      <c r="M82" s="1" t="s">
        <v>33</v>
      </c>
      <c r="N82">
        <v>2.8496621985053308</v>
      </c>
      <c r="O82" s="1" t="s">
        <v>41</v>
      </c>
      <c r="P82">
        <v>787.77985049434449</v>
      </c>
    </row>
    <row r="83" spans="1:16" x14ac:dyDescent="0.25">
      <c r="A83" s="1" t="s">
        <v>16</v>
      </c>
      <c r="B83" s="1" t="s">
        <v>120</v>
      </c>
      <c r="C83">
        <v>72.819206930318217</v>
      </c>
      <c r="D83">
        <v>774</v>
      </c>
      <c r="E83">
        <v>4384.4134000458625</v>
      </c>
      <c r="F83">
        <v>48</v>
      </c>
      <c r="G83" s="1" t="s">
        <v>18</v>
      </c>
      <c r="H83">
        <v>4.0662775015120438</v>
      </c>
      <c r="I83" s="1" t="s">
        <v>19</v>
      </c>
      <c r="J83" s="1" t="s">
        <v>36</v>
      </c>
      <c r="K83">
        <v>28</v>
      </c>
      <c r="L83">
        <v>19.789592941903603</v>
      </c>
      <c r="M83" s="1" t="s">
        <v>21</v>
      </c>
      <c r="N83">
        <v>2.5475471215487118</v>
      </c>
      <c r="O83" s="1" t="s">
        <v>34</v>
      </c>
      <c r="P83">
        <v>276.77833594679885</v>
      </c>
    </row>
    <row r="84" spans="1:16" x14ac:dyDescent="0.25">
      <c r="A84" s="1" t="s">
        <v>23</v>
      </c>
      <c r="B84" s="1" t="s">
        <v>121</v>
      </c>
      <c r="C84">
        <v>17.034930739467917</v>
      </c>
      <c r="D84">
        <v>336</v>
      </c>
      <c r="E84">
        <v>2943.3818676094515</v>
      </c>
      <c r="F84">
        <v>42</v>
      </c>
      <c r="G84" s="1" t="s">
        <v>25</v>
      </c>
      <c r="H84">
        <v>4.7081818735419301</v>
      </c>
      <c r="I84" s="1" t="s">
        <v>46</v>
      </c>
      <c r="J84" s="1" t="s">
        <v>20</v>
      </c>
      <c r="K84">
        <v>6</v>
      </c>
      <c r="L84">
        <v>4.4652784349432402</v>
      </c>
      <c r="M84" s="1" t="s">
        <v>21</v>
      </c>
      <c r="N84">
        <v>4.1378770486223573</v>
      </c>
      <c r="O84" s="1" t="s">
        <v>22</v>
      </c>
      <c r="P84">
        <v>589.97855562804068</v>
      </c>
    </row>
    <row r="85" spans="1:16" x14ac:dyDescent="0.25">
      <c r="A85" s="1" t="s">
        <v>16</v>
      </c>
      <c r="B85" s="1" t="s">
        <v>122</v>
      </c>
      <c r="C85">
        <v>68.911246211606326</v>
      </c>
      <c r="D85">
        <v>663</v>
      </c>
      <c r="E85">
        <v>2411.754632110491</v>
      </c>
      <c r="F85">
        <v>65</v>
      </c>
      <c r="G85" s="1" t="s">
        <v>18</v>
      </c>
      <c r="H85">
        <v>4.9498395779969488</v>
      </c>
      <c r="I85" s="1" t="s">
        <v>27</v>
      </c>
      <c r="J85" s="1" t="s">
        <v>39</v>
      </c>
      <c r="K85">
        <v>20</v>
      </c>
      <c r="L85">
        <v>97.730593800533043</v>
      </c>
      <c r="M85" s="1" t="s">
        <v>33</v>
      </c>
      <c r="N85">
        <v>0.77300613406724783</v>
      </c>
      <c r="O85" s="1" t="s">
        <v>22</v>
      </c>
      <c r="P85">
        <v>682.97101822609329</v>
      </c>
    </row>
    <row r="86" spans="1:16" x14ac:dyDescent="0.25">
      <c r="A86" s="1" t="s">
        <v>16</v>
      </c>
      <c r="B86" s="1" t="s">
        <v>123</v>
      </c>
      <c r="C86">
        <v>89.104367292102253</v>
      </c>
      <c r="D86">
        <v>618</v>
      </c>
      <c r="E86">
        <v>2048.2900998487103</v>
      </c>
      <c r="F86">
        <v>73</v>
      </c>
      <c r="G86" s="1" t="s">
        <v>25</v>
      </c>
      <c r="H86">
        <v>8.381615624922631</v>
      </c>
      <c r="I86" s="1" t="s">
        <v>31</v>
      </c>
      <c r="J86" s="1" t="s">
        <v>47</v>
      </c>
      <c r="K86">
        <v>24</v>
      </c>
      <c r="L86">
        <v>33.808636513209095</v>
      </c>
      <c r="M86" s="1" t="s">
        <v>49</v>
      </c>
      <c r="N86">
        <v>4.8434565771180411</v>
      </c>
      <c r="O86" s="1" t="s">
        <v>28</v>
      </c>
      <c r="P86">
        <v>465.45700596368795</v>
      </c>
    </row>
    <row r="87" spans="1:16" x14ac:dyDescent="0.25">
      <c r="A87" s="1" t="s">
        <v>42</v>
      </c>
      <c r="B87" s="1" t="s">
        <v>124</v>
      </c>
      <c r="C87">
        <v>76.962994415193876</v>
      </c>
      <c r="D87">
        <v>25</v>
      </c>
      <c r="E87">
        <v>8684.6130592538575</v>
      </c>
      <c r="F87">
        <v>15</v>
      </c>
      <c r="G87" s="1" t="s">
        <v>30</v>
      </c>
      <c r="H87">
        <v>8.2491687048717282</v>
      </c>
      <c r="I87" s="1" t="s">
        <v>31</v>
      </c>
      <c r="J87" s="1" t="s">
        <v>47</v>
      </c>
      <c r="K87">
        <v>4</v>
      </c>
      <c r="L87">
        <v>69.929345518672307</v>
      </c>
      <c r="M87" s="1" t="s">
        <v>33</v>
      </c>
      <c r="N87">
        <v>1.3744289997457582</v>
      </c>
      <c r="O87" s="1" t="s">
        <v>22</v>
      </c>
      <c r="P87">
        <v>842.68683000464148</v>
      </c>
    </row>
    <row r="88" spans="1:16" x14ac:dyDescent="0.25">
      <c r="A88" s="1" t="s">
        <v>23</v>
      </c>
      <c r="B88" s="1" t="s">
        <v>125</v>
      </c>
      <c r="C88">
        <v>19.998176940404221</v>
      </c>
      <c r="D88">
        <v>223</v>
      </c>
      <c r="E88">
        <v>1229.5910285649834</v>
      </c>
      <c r="F88">
        <v>32</v>
      </c>
      <c r="G88" s="1" t="s">
        <v>18</v>
      </c>
      <c r="H88">
        <v>1.4543053101535515</v>
      </c>
      <c r="I88" s="1" t="s">
        <v>27</v>
      </c>
      <c r="J88" s="1" t="s">
        <v>20</v>
      </c>
      <c r="K88">
        <v>4</v>
      </c>
      <c r="L88">
        <v>74.608969995194684</v>
      </c>
      <c r="M88" s="1" t="s">
        <v>49</v>
      </c>
      <c r="N88">
        <v>2.0515129307662465</v>
      </c>
      <c r="O88" s="1" t="s">
        <v>34</v>
      </c>
      <c r="P88">
        <v>264.25488983586649</v>
      </c>
    </row>
    <row r="89" spans="1:16" x14ac:dyDescent="0.25">
      <c r="A89" s="1" t="s">
        <v>16</v>
      </c>
      <c r="B89" s="1" t="s">
        <v>126</v>
      </c>
      <c r="C89">
        <v>80.41403665035574</v>
      </c>
      <c r="D89">
        <v>79</v>
      </c>
      <c r="E89">
        <v>5133.8467010866916</v>
      </c>
      <c r="F89">
        <v>5</v>
      </c>
      <c r="G89" s="1" t="s">
        <v>25</v>
      </c>
      <c r="H89">
        <v>6.5758037975485353</v>
      </c>
      <c r="I89" s="1" t="s">
        <v>19</v>
      </c>
      <c r="J89" s="1" t="s">
        <v>47</v>
      </c>
      <c r="K89">
        <v>27</v>
      </c>
      <c r="L89">
        <v>28.69699682414317</v>
      </c>
      <c r="M89" s="1" t="s">
        <v>33</v>
      </c>
      <c r="N89">
        <v>3.6937377878392756</v>
      </c>
      <c r="O89" s="1" t="s">
        <v>41</v>
      </c>
      <c r="P89">
        <v>879.3592177349243</v>
      </c>
    </row>
    <row r="90" spans="1:16" x14ac:dyDescent="0.25">
      <c r="A90" s="1" t="s">
        <v>42</v>
      </c>
      <c r="B90" s="1" t="s">
        <v>127</v>
      </c>
      <c r="C90">
        <v>75.27040697572501</v>
      </c>
      <c r="D90">
        <v>737</v>
      </c>
      <c r="E90">
        <v>9444.7420330629793</v>
      </c>
      <c r="F90">
        <v>60</v>
      </c>
      <c r="G90" s="1" t="s">
        <v>25</v>
      </c>
      <c r="H90">
        <v>3.8012531329310777</v>
      </c>
      <c r="I90" s="1" t="s">
        <v>46</v>
      </c>
      <c r="J90" s="1" t="s">
        <v>20</v>
      </c>
      <c r="K90">
        <v>21</v>
      </c>
      <c r="L90">
        <v>68.184919057041171</v>
      </c>
      <c r="M90" s="1" t="s">
        <v>21</v>
      </c>
      <c r="N90">
        <v>0.722204401882931</v>
      </c>
      <c r="O90" s="1" t="s">
        <v>41</v>
      </c>
      <c r="P90">
        <v>103.91624796070495</v>
      </c>
    </row>
    <row r="91" spans="1:16" x14ac:dyDescent="0.25">
      <c r="A91" s="1" t="s">
        <v>42</v>
      </c>
      <c r="B91" s="1" t="s">
        <v>128</v>
      </c>
      <c r="C91">
        <v>97.760085581938668</v>
      </c>
      <c r="D91">
        <v>134</v>
      </c>
      <c r="E91">
        <v>5924.682566853231</v>
      </c>
      <c r="F91">
        <v>90</v>
      </c>
      <c r="G91" s="1" t="s">
        <v>18</v>
      </c>
      <c r="H91">
        <v>9.9298162452772587</v>
      </c>
      <c r="I91" s="1" t="s">
        <v>27</v>
      </c>
      <c r="J91" s="1" t="s">
        <v>32</v>
      </c>
      <c r="K91">
        <v>23</v>
      </c>
      <c r="L91">
        <v>46.603873381644469</v>
      </c>
      <c r="M91" s="1" t="s">
        <v>21</v>
      </c>
      <c r="N91">
        <v>1.9076657339590746</v>
      </c>
      <c r="O91" s="1" t="s">
        <v>34</v>
      </c>
      <c r="P91">
        <v>517.4999739290605</v>
      </c>
    </row>
    <row r="92" spans="1:16" x14ac:dyDescent="0.25">
      <c r="A92" s="1" t="s">
        <v>23</v>
      </c>
      <c r="B92" s="1" t="s">
        <v>129</v>
      </c>
      <c r="C92">
        <v>13.881913501359142</v>
      </c>
      <c r="D92">
        <v>320</v>
      </c>
      <c r="E92">
        <v>9592.6335702803117</v>
      </c>
      <c r="F92">
        <v>66</v>
      </c>
      <c r="G92" s="1" t="s">
        <v>18</v>
      </c>
      <c r="H92">
        <v>7.6744307081126939</v>
      </c>
      <c r="I92" s="1" t="s">
        <v>19</v>
      </c>
      <c r="J92" s="1" t="s">
        <v>39</v>
      </c>
      <c r="K92">
        <v>8</v>
      </c>
      <c r="L92">
        <v>85.675963335797974</v>
      </c>
      <c r="M92" s="1" t="s">
        <v>49</v>
      </c>
      <c r="N92">
        <v>1.2193822244013885</v>
      </c>
      <c r="O92" s="1" t="s">
        <v>34</v>
      </c>
      <c r="P92">
        <v>990.07847250581119</v>
      </c>
    </row>
    <row r="93" spans="1:16" x14ac:dyDescent="0.25">
      <c r="A93" s="1" t="s">
        <v>42</v>
      </c>
      <c r="B93" s="1" t="s">
        <v>130</v>
      </c>
      <c r="C93">
        <v>62.111965463961788</v>
      </c>
      <c r="D93">
        <v>916</v>
      </c>
      <c r="E93">
        <v>1935.2067935075991</v>
      </c>
      <c r="F93">
        <v>98</v>
      </c>
      <c r="G93" s="1" t="s">
        <v>18</v>
      </c>
      <c r="H93">
        <v>7.4715140844011456</v>
      </c>
      <c r="I93" s="1" t="s">
        <v>38</v>
      </c>
      <c r="J93" s="1" t="s">
        <v>36</v>
      </c>
      <c r="K93">
        <v>5</v>
      </c>
      <c r="L93">
        <v>39.772882502339975</v>
      </c>
      <c r="M93" s="1" t="s">
        <v>21</v>
      </c>
      <c r="N93">
        <v>0.62600185820939458</v>
      </c>
      <c r="O93" s="1" t="s">
        <v>34</v>
      </c>
      <c r="P93">
        <v>996.77831495062378</v>
      </c>
    </row>
    <row r="94" spans="1:16" x14ac:dyDescent="0.25">
      <c r="A94" s="1" t="s">
        <v>42</v>
      </c>
      <c r="B94" s="1" t="s">
        <v>131</v>
      </c>
      <c r="C94">
        <v>47.714233075820232</v>
      </c>
      <c r="D94">
        <v>276</v>
      </c>
      <c r="E94">
        <v>2100.1297546259366</v>
      </c>
      <c r="F94">
        <v>90</v>
      </c>
      <c r="G94" s="1" t="s">
        <v>18</v>
      </c>
      <c r="H94">
        <v>4.4695000261236011</v>
      </c>
      <c r="I94" s="1" t="s">
        <v>46</v>
      </c>
      <c r="J94" s="1" t="s">
        <v>20</v>
      </c>
      <c r="K94">
        <v>4</v>
      </c>
      <c r="L94">
        <v>62.612690395614344</v>
      </c>
      <c r="M94" s="1" t="s">
        <v>49</v>
      </c>
      <c r="N94">
        <v>0.33343182522473924</v>
      </c>
      <c r="O94" s="1" t="s">
        <v>34</v>
      </c>
      <c r="P94">
        <v>230.09278253676294</v>
      </c>
    </row>
    <row r="95" spans="1:16" x14ac:dyDescent="0.25">
      <c r="A95" s="1" t="s">
        <v>16</v>
      </c>
      <c r="B95" s="1" t="s">
        <v>132</v>
      </c>
      <c r="C95">
        <v>69.290831002905492</v>
      </c>
      <c r="D95">
        <v>114</v>
      </c>
      <c r="E95">
        <v>4531.4021336919095</v>
      </c>
      <c r="F95">
        <v>63</v>
      </c>
      <c r="G95" s="1" t="s">
        <v>30</v>
      </c>
      <c r="H95">
        <v>7.0064320590043945</v>
      </c>
      <c r="I95" s="1" t="s">
        <v>38</v>
      </c>
      <c r="J95" s="1" t="s">
        <v>47</v>
      </c>
      <c r="K95">
        <v>21</v>
      </c>
      <c r="L95">
        <v>35.633652343343876</v>
      </c>
      <c r="M95" s="1" t="s">
        <v>33</v>
      </c>
      <c r="N95">
        <v>4.1657817954241452</v>
      </c>
      <c r="O95" s="1" t="s">
        <v>28</v>
      </c>
      <c r="P95">
        <v>823.52384588815585</v>
      </c>
    </row>
    <row r="96" spans="1:16" x14ac:dyDescent="0.25">
      <c r="A96" s="1" t="s">
        <v>42</v>
      </c>
      <c r="B96" s="1" t="s">
        <v>133</v>
      </c>
      <c r="C96">
        <v>3.0376887246314141</v>
      </c>
      <c r="D96">
        <v>987</v>
      </c>
      <c r="E96">
        <v>7888.3565466618729</v>
      </c>
      <c r="F96">
        <v>77</v>
      </c>
      <c r="G96" s="1" t="s">
        <v>18</v>
      </c>
      <c r="H96">
        <v>6.9429459420325808</v>
      </c>
      <c r="I96" s="1" t="s">
        <v>46</v>
      </c>
      <c r="J96" s="1" t="s">
        <v>36</v>
      </c>
      <c r="K96">
        <v>12</v>
      </c>
      <c r="L96">
        <v>60.387378614862122</v>
      </c>
      <c r="M96" s="1" t="s">
        <v>49</v>
      </c>
      <c r="N96">
        <v>1.4636074984727798</v>
      </c>
      <c r="O96" s="1" t="s">
        <v>34</v>
      </c>
      <c r="P96">
        <v>846.66525698669477</v>
      </c>
    </row>
    <row r="97" spans="1:16" x14ac:dyDescent="0.25">
      <c r="A97" s="1" t="s">
        <v>16</v>
      </c>
      <c r="B97" s="1" t="s">
        <v>134</v>
      </c>
      <c r="C97">
        <v>77.903927219447752</v>
      </c>
      <c r="D97">
        <v>672</v>
      </c>
      <c r="E97">
        <v>7386.3639440486641</v>
      </c>
      <c r="F97">
        <v>15</v>
      </c>
      <c r="G97" s="1" t="s">
        <v>18</v>
      </c>
      <c r="H97">
        <v>8.6303388696027543</v>
      </c>
      <c r="I97" s="1" t="s">
        <v>38</v>
      </c>
      <c r="J97" s="1" t="s">
        <v>20</v>
      </c>
      <c r="K97">
        <v>18</v>
      </c>
      <c r="L97">
        <v>58.890685768589982</v>
      </c>
      <c r="M97" s="1" t="s">
        <v>21</v>
      </c>
      <c r="N97">
        <v>1.2108821295850665</v>
      </c>
      <c r="O97" s="1" t="s">
        <v>28</v>
      </c>
      <c r="P97">
        <v>778.8642413766479</v>
      </c>
    </row>
    <row r="98" spans="1:16" x14ac:dyDescent="0.25">
      <c r="A98" s="1" t="s">
        <v>42</v>
      </c>
      <c r="B98" s="1" t="s">
        <v>135</v>
      </c>
      <c r="C98">
        <v>24.42313142037338</v>
      </c>
      <c r="D98">
        <v>324</v>
      </c>
      <c r="E98">
        <v>7698.4247656321168</v>
      </c>
      <c r="F98">
        <v>67</v>
      </c>
      <c r="G98" s="1" t="s">
        <v>30</v>
      </c>
      <c r="H98">
        <v>5.3528780439968093</v>
      </c>
      <c r="I98" s="1" t="s">
        <v>19</v>
      </c>
      <c r="J98" s="1" t="s">
        <v>20</v>
      </c>
      <c r="K98">
        <v>28</v>
      </c>
      <c r="L98">
        <v>17.80375633139127</v>
      </c>
      <c r="M98" s="1" t="s">
        <v>21</v>
      </c>
      <c r="N98">
        <v>3.8720476814821332</v>
      </c>
      <c r="O98" s="1" t="s">
        <v>22</v>
      </c>
      <c r="P98">
        <v>188.74214114905698</v>
      </c>
    </row>
    <row r="99" spans="1:16" x14ac:dyDescent="0.25">
      <c r="A99" s="1" t="s">
        <v>16</v>
      </c>
      <c r="B99" s="1" t="s">
        <v>136</v>
      </c>
      <c r="C99">
        <v>3.5261112591434158</v>
      </c>
      <c r="D99">
        <v>62</v>
      </c>
      <c r="E99">
        <v>4370.9165799845359</v>
      </c>
      <c r="F99">
        <v>46</v>
      </c>
      <c r="G99" s="1" t="s">
        <v>25</v>
      </c>
      <c r="H99">
        <v>7.9048456112096748</v>
      </c>
      <c r="I99" s="1" t="s">
        <v>38</v>
      </c>
      <c r="J99" s="1" t="s">
        <v>20</v>
      </c>
      <c r="K99">
        <v>10</v>
      </c>
      <c r="L99">
        <v>65.765155926367456</v>
      </c>
      <c r="M99" s="1" t="s">
        <v>33</v>
      </c>
      <c r="N99">
        <v>3.3762378347179811</v>
      </c>
      <c r="O99" s="1" t="s">
        <v>22</v>
      </c>
      <c r="P99">
        <v>540.13242286796776</v>
      </c>
    </row>
    <row r="100" spans="1:16" x14ac:dyDescent="0.25">
      <c r="A100" s="1" t="s">
        <v>23</v>
      </c>
      <c r="B100" s="1" t="s">
        <v>137</v>
      </c>
      <c r="C100">
        <v>19.754604866878601</v>
      </c>
      <c r="D100">
        <v>913</v>
      </c>
      <c r="E100">
        <v>8525.9525596835265</v>
      </c>
      <c r="F100">
        <v>53</v>
      </c>
      <c r="G100" s="1" t="s">
        <v>18</v>
      </c>
      <c r="H100">
        <v>1.4098010951380731</v>
      </c>
      <c r="I100" s="1" t="s">
        <v>31</v>
      </c>
      <c r="J100" s="1" t="s">
        <v>47</v>
      </c>
      <c r="K100">
        <v>28</v>
      </c>
      <c r="L100">
        <v>5.604690864371781</v>
      </c>
      <c r="M100" s="1" t="s">
        <v>21</v>
      </c>
      <c r="N100">
        <v>2.9081221693512611</v>
      </c>
      <c r="O100" s="1" t="s">
        <v>34</v>
      </c>
      <c r="P100">
        <v>882.19886354704147</v>
      </c>
    </row>
    <row r="101" spans="1:16" x14ac:dyDescent="0.25">
      <c r="A101" s="1" t="s">
        <v>16</v>
      </c>
      <c r="B101" s="1" t="s">
        <v>138</v>
      </c>
      <c r="C101">
        <v>68.517832699276639</v>
      </c>
      <c r="D101">
        <v>627</v>
      </c>
      <c r="E101">
        <v>9185.1858291817043</v>
      </c>
      <c r="F101">
        <v>55</v>
      </c>
      <c r="G101" s="1" t="s">
        <v>18</v>
      </c>
      <c r="H101">
        <v>1.3110237561206226</v>
      </c>
      <c r="I101" s="1" t="s">
        <v>46</v>
      </c>
      <c r="J101" s="1" t="s">
        <v>47</v>
      </c>
      <c r="K101">
        <v>29</v>
      </c>
      <c r="L101">
        <v>38.07289852062604</v>
      </c>
      <c r="M101" s="1" t="s">
        <v>33</v>
      </c>
      <c r="N101">
        <v>0.34602729070550342</v>
      </c>
      <c r="O101" s="1" t="s">
        <v>34</v>
      </c>
      <c r="P101">
        <v>210.74300896424614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BD535-7752-4E4E-9408-9A7DFF3599B4}">
  <dimension ref="B1:T11"/>
  <sheetViews>
    <sheetView showGridLines="0" tabSelected="1" zoomScale="70" zoomScaleNormal="70" workbookViewId="0">
      <selection activeCell="B28" sqref="B28"/>
    </sheetView>
  </sheetViews>
  <sheetFormatPr defaultRowHeight="15" x14ac:dyDescent="0.25"/>
  <cols>
    <col min="2" max="2" width="13.5703125" bestFit="1" customWidth="1"/>
    <col min="4" max="4" width="11.7109375" bestFit="1" customWidth="1"/>
    <col min="20" max="20" width="13.5703125" hidden="1" customWidth="1"/>
  </cols>
  <sheetData>
    <row r="1" spans="2:20" x14ac:dyDescent="0.25">
      <c r="B1" s="4"/>
      <c r="D1" s="5"/>
      <c r="F1" s="5"/>
    </row>
    <row r="2" spans="2:20" x14ac:dyDescent="0.25">
      <c r="B2" s="4"/>
      <c r="D2" s="5"/>
      <c r="F2" s="5"/>
    </row>
    <row r="7" spans="2:20" x14ac:dyDescent="0.25">
      <c r="T7" s="8">
        <f>SUM(supply_chain_data!E:E)</f>
        <v>577604.81873800862</v>
      </c>
    </row>
    <row r="9" spans="2:20" x14ac:dyDescent="0.25">
      <c r="T9" s="6">
        <f>SUM(supply_chain_data!D:D)</f>
        <v>46099</v>
      </c>
    </row>
    <row r="11" spans="2:20" x14ac:dyDescent="0.25">
      <c r="T11" s="7">
        <f>AVERAGE(supply_chain_data!N:N)/100</f>
        <v>2.2771579927396108E-2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0799F5-0A85-4CC3-AC63-1C6832271A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supply_chain_data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2026-06-23T01:42:24Z</dcterms:created>
  <dcterms:modified xsi:type="dcterms:W3CDTF">2026-06-23T04:10:01Z</dcterms:modified>
</cp:coreProperties>
</file>